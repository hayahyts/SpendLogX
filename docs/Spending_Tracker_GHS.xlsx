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d Transaction" sheetId="1" r:id="rId5"/>
    <sheet state="visible" name="Settings" sheetId="2" r:id="rId6"/>
    <sheet state="visible" name="Transactions" sheetId="3" r:id="rId7"/>
    <sheet state="visible" name="Dashboard" sheetId="4" r:id="rId8"/>
    <sheet state="visible" name="Weekly Detail" sheetId="5" r:id="rId9"/>
    <sheet state="visible" name="Monthly Detail" sheetId="6" r:id="rId10"/>
    <sheet state="visible" name="Quarterly Detail" sheetId="7" r:id="rId11"/>
    <sheet state="visible" name="Yearly Detail" sheetId="8" r:id="rId12"/>
    <sheet state="hidden" name="Validation" sheetId="9" r:id="rId13"/>
  </sheets>
  <definedNames>
    <definedName name="Health_Expense">Validation!$Q$2:$Q$5</definedName>
    <definedName name="Bills_Utilities_Expense">Validation!$O$2:$O$7</definedName>
    <definedName name="AllCategoriesSimple">Settings!$M$2:$M$16</definedName>
    <definedName name="BlankList">Validation!$D$2</definedName>
    <definedName name="AllSubcategoriesSimple">Settings!$N$2:$N$59</definedName>
    <definedName name="Shopping_Expense">Validation!$P$2:$P$5</definedName>
    <definedName name="MonthOptions">Validation!$H$2:$H$13</definedName>
    <definedName name="Personal_Expense">Validation!$S$2:$S$5</definedName>
    <definedName name="Types">Validation!$G$2:$G$4</definedName>
    <definedName name="FormType">'Add Transaction'!$C$6</definedName>
    <definedName name="IncomeCategories">Validation!$B$2:$B$6</definedName>
    <definedName name="FormPaymentMethod">'Add Transaction'!$C$13</definedName>
    <definedName name="Salary_Income">Validation!$V$2:$V$3</definedName>
    <definedName name="Family_Home_Expense">Validation!$T$2:$T$4</definedName>
    <definedName name="YearOptions">Validation!$J$2</definedName>
    <definedName name="FormAccount">#REF!</definedName>
    <definedName name="WeekOptions">Validation!$K$2:$K$367</definedName>
    <definedName name="FormDescription">'Add Transaction'!$C$12</definedName>
    <definedName name="FormSubcategory">'Add Transaction'!$C$11</definedName>
    <definedName name="FormAmount">'Add Transaction'!$C$7</definedName>
    <definedName name="Transport_Expense">Validation!$N$2:$N$6</definedName>
    <definedName name="FormCategory">'Add Transaction'!$C$10</definedName>
    <definedName name="TransferOnly">Validation!$C$2</definedName>
    <definedName name="ExpenseCategories">Validation!$A$2:$A$10</definedName>
    <definedName name="PaymentMethods">Validation!$E$2:$E$6</definedName>
    <definedName name="QuarterOptions">Validation!$I$2:$I$5</definedName>
    <definedName name="Other_Income_Income">Validation!$Z$2</definedName>
    <definedName name="Gifts_Income">Validation!$X$2</definedName>
    <definedName name="Accounts">Validation!$F$2:$F$6</definedName>
    <definedName name="Entertainment_Expense">Validation!$R$2:$R$5</definedName>
    <definedName name="Refunds_Income">Validation!$Y$2:$Y$3</definedName>
    <definedName name="Food_Drink_Expense">Validation!$M$2:$M$5</definedName>
    <definedName name="FormDate">'Add Transaction'!$C$5</definedName>
    <definedName name="Other_Expense">Validation!$U$2:$U$4</definedName>
    <definedName name="Side_Income_Income">Validation!$W$2:$W$3</definedName>
    <definedName hidden="1" localSheetId="1" name="_xlnm._FilterDatabase">Settings!$A$1:$J$51</definedName>
    <definedName hidden="1" localSheetId="2" name="_xlnm._FilterDatabase">Transactions!$A$1:$J$41</definedName>
  </definedNames>
  <calcPr/>
</workbook>
</file>

<file path=xl/sharedStrings.xml><?xml version="1.0" encoding="utf-8"?>
<sst xmlns="http://schemas.openxmlformats.org/spreadsheetml/2006/main" count="726" uniqueCount="223">
  <si>
    <t>Add Transaction</t>
  </si>
  <si>
    <t>Expense Category</t>
  </si>
  <si>
    <t>Row ID</t>
  </si>
  <si>
    <t>Expense Subcategory</t>
  </si>
  <si>
    <t>Income Category</t>
  </si>
  <si>
    <t>Income Subcategory</t>
  </si>
  <si>
    <t>Payment Method</t>
  </si>
  <si>
    <t>Account</t>
  </si>
  <si>
    <t>Type</t>
  </si>
  <si>
    <t>Date</t>
  </si>
  <si>
    <t>Month</t>
  </si>
  <si>
    <t>Quarter</t>
  </si>
  <si>
    <t>Amount (GHS)</t>
  </si>
  <si>
    <t>Year</t>
  </si>
  <si>
    <t>How to use</t>
  </si>
  <si>
    <t>Tips (GHS)</t>
  </si>
  <si>
    <t>Dropdown Category List</t>
  </si>
  <si>
    <t>Dropdown Subcategory List</t>
  </si>
  <si>
    <t>Food Drink</t>
  </si>
  <si>
    <t>Enter one transaction here, then use the script/menu to add it to the Transactions tab.</t>
  </si>
  <si>
    <t>Category</t>
  </si>
  <si>
    <t>Subcategory</t>
  </si>
  <si>
    <t>Description</t>
  </si>
  <si>
    <t>Groceries</t>
  </si>
  <si>
    <t>Salary</t>
  </si>
  <si>
    <t>Peswa</t>
  </si>
  <si>
    <t>Cash</t>
  </si>
  <si>
    <t>Stanbic Bank</t>
  </si>
  <si>
    <t>Expense</t>
  </si>
  <si>
    <t>Jan</t>
  </si>
  <si>
    <t>Q1</t>
  </si>
  <si>
    <t>1. Enter every transaction on the Transactions tab.</t>
  </si>
  <si>
    <t>Restaurants</t>
  </si>
  <si>
    <t>Rising</t>
  </si>
  <si>
    <t>Mobile Money</t>
  </si>
  <si>
    <t>MoMo Wallet</t>
  </si>
  <si>
    <t>Income</t>
  </si>
  <si>
    <t>Feb</t>
  </si>
  <si>
    <t>Q2</t>
  </si>
  <si>
    <t>2. Amounts should always be positive. Use Type to mark Expense, Income, or Transfer.</t>
  </si>
  <si>
    <t>Transport</t>
  </si>
  <si>
    <t>Main job</t>
  </si>
  <si>
    <t>Takeaway</t>
  </si>
  <si>
    <t>Side Income</t>
  </si>
  <si>
    <t>Freelance</t>
  </si>
  <si>
    <t>Card</t>
  </si>
  <si>
    <t>Transfer</t>
  </si>
  <si>
    <t>Quick check</t>
  </si>
  <si>
    <t>Mar</t>
  </si>
  <si>
    <t>Q3</t>
  </si>
  <si>
    <t>3. Transfers are counted separately and do not count as spending.</t>
  </si>
  <si>
    <t>Bills Utilities</t>
  </si>
  <si>
    <t>Coffee Snacks</t>
  </si>
  <si>
    <t>Business</t>
  </si>
  <si>
    <t>Bank Transfer</t>
  </si>
  <si>
    <t>Other</t>
  </si>
  <si>
    <t>Apr</t>
  </si>
  <si>
    <t>Q4</t>
  </si>
  <si>
    <t>4. Edit categories, payment methods, and accounts on this Settings tab.</t>
  </si>
  <si>
    <t>Shopping</t>
  </si>
  <si>
    <t>Bonus</t>
  </si>
  <si>
    <t>Fuel</t>
  </si>
  <si>
    <t>Gifts</t>
  </si>
  <si>
    <t>June salary</t>
  </si>
  <si>
    <t>Family Friends</t>
  </si>
  <si>
    <t>May</t>
  </si>
  <si>
    <t>5. Use Dashboard to choose a week, month, quarter, or year.</t>
  </si>
  <si>
    <t>Health</t>
  </si>
  <si>
    <t>Taxi Trotro</t>
  </si>
  <si>
    <t>Refunds</t>
  </si>
  <si>
    <t>Purchase refund</t>
  </si>
  <si>
    <t>Jun</t>
  </si>
  <si>
    <t>Entertainment</t>
  </si>
  <si>
    <t>Uber Bolt</t>
  </si>
  <si>
    <t>Reimbursement</t>
  </si>
  <si>
    <t>Date, Type, Amount, Category, Payment Method, and Account should be filled.</t>
  </si>
  <si>
    <t>Jul</t>
  </si>
  <si>
    <t>Personal</t>
  </si>
  <si>
    <t>Vehicle maintenance</t>
  </si>
  <si>
    <t>Other Income</t>
  </si>
  <si>
    <t>Aug</t>
  </si>
  <si>
    <t>Stanbic initial balance</t>
  </si>
  <si>
    <t>Family Home</t>
  </si>
  <si>
    <t>Parking</t>
  </si>
  <si>
    <t>Sep</t>
  </si>
  <si>
    <t>Car Wash</t>
  </si>
  <si>
    <t>Transfers should use Type = Transfer and Category = Transfer.</t>
  </si>
  <si>
    <t>Oct</t>
  </si>
  <si>
    <t>Investment</t>
  </si>
  <si>
    <t>Land</t>
  </si>
  <si>
    <t>Nov</t>
  </si>
  <si>
    <t>Initial Cash</t>
  </si>
  <si>
    <t>Rent</t>
  </si>
  <si>
    <t>Dec</t>
  </si>
  <si>
    <t>Electricity</t>
  </si>
  <si>
    <t>Fuel for Generator</t>
  </si>
  <si>
    <t>Water</t>
  </si>
  <si>
    <t>Amounts should always be positive.</t>
  </si>
  <si>
    <t>Internet</t>
  </si>
  <si>
    <t>Extended Family</t>
  </si>
  <si>
    <t>Auntie (Maxwell)</t>
  </si>
  <si>
    <t>Phone bill</t>
  </si>
  <si>
    <t>Gas</t>
  </si>
  <si>
    <t>Bread and biscuit</t>
  </si>
  <si>
    <t>Clothing</t>
  </si>
  <si>
    <t>Electronics</t>
  </si>
  <si>
    <t>Dedei</t>
  </si>
  <si>
    <t>Buying corn husk</t>
  </si>
  <si>
    <t>Note: These simple lists feed the Transactions dropdowns.</t>
  </si>
  <si>
    <t>Loan Repayment</t>
  </si>
  <si>
    <t>Beb</t>
  </si>
  <si>
    <t xml:space="preserve">Repayment of loan </t>
  </si>
  <si>
    <t>Home goods</t>
  </si>
  <si>
    <t>Personal items</t>
  </si>
  <si>
    <t>⁠‌‌‌‌‌‌‌‌‌‍‌‌‍‍‍‌‌‌‌‌‌‌‌‌‌‍‍‌‌‌‌‍‌‌‌‌‌‌‌‌‌‍‍‌‍‍‍‌‌‌‌‌‌‌‌‌‌‍‍‌‌‌‌‍‌‌‌‌‌‌‌‌‌‌‍‌‌‌‌‌‌‌‌‌‌‌‌‌‌‍‌‌‌‌‌‍‌‌‌‌‌‌‌‌‌‍‍‌‌‍‌‌‌‌‌‌‌‌‌‌‌‍‍‌‍‌‍‌‌‌‌‌‌‌‌‌‌‍‍‌‍‍‍‍‌‌‌‌‌‌‌‌‌‍‍‌‌‌‌‍⁤</t>
  </si>
  <si>
    <t>Pharmacy</t>
  </si>
  <si>
    <t>Doctor Clinic</t>
  </si>
  <si>
    <t>Charity</t>
  </si>
  <si>
    <t>Ebenezer Auntie teacher</t>
  </si>
  <si>
    <t>Insurance</t>
  </si>
  <si>
    <t>Dr Safo last payment</t>
  </si>
  <si>
    <t>Fitness</t>
  </si>
  <si>
    <t>After adding, the script clears the form except Date and Type.</t>
  </si>
  <si>
    <t>Koshie</t>
  </si>
  <si>
    <t>Haircut</t>
  </si>
  <si>
    <t>Streaming</t>
  </si>
  <si>
    <t>Events Outings</t>
  </si>
  <si>
    <t>Odarkor</t>
  </si>
  <si>
    <t>If subcategory does not refresh immediately, choose the category again or run Spending Tracker &gt; Refresh form dropdowns.</t>
  </si>
  <si>
    <t>Movies</t>
  </si>
  <si>
    <t>Hobbies</t>
  </si>
  <si>
    <t>Friends</t>
  </si>
  <si>
    <t>Mary's mother's funeral</t>
  </si>
  <si>
    <t>Barbering</t>
  </si>
  <si>
    <t>⁠‌‌‌‌‌‌‌‌‌‍‌‌‌‍‍‌‌‌‌‌‌‌‌‌‌‍‍‌‌‌‌‍‌‌‌‌‌‌‌‌‌‍‍‍‌‍‌‍‌‌‌‌‌‌‌‌‌‍‍‍‍‌‍‌‌‌‌‌‌‌‌‌‌‍‍‌‍‌‌‍‌‌‌‌‌‌‌‌‌‍‍‌‌‌‌‍⁤</t>
  </si>
  <si>
    <t>Education</t>
  </si>
  <si>
    <t>Family</t>
  </si>
  <si>
    <t>Jalil</t>
  </si>
  <si>
    <t>Ibrahim</t>
  </si>
  <si>
    <t>Abdur-Rahman</t>
  </si>
  <si>
    <t>Spa Treatment</t>
  </si>
  <si>
    <t>Phone Case and protector</t>
  </si>
  <si>
    <t>ADD TRANSACTION</t>
  </si>
  <si>
    <t>Mommy</t>
  </si>
  <si>
    <t>Aryee</t>
  </si>
  <si>
    <t>Bike</t>
  </si>
  <si>
    <t>Sammy</t>
  </si>
  <si>
    <t>Omama</t>
  </si>
  <si>
    <t>Mother</t>
  </si>
  <si>
    <t>Transportation to funeral</t>
  </si>
  <si>
    <t>Nateki</t>
  </si>
  <si>
    <t>Land document part payment</t>
  </si>
  <si>
    <t>Hair Beauty</t>
  </si>
  <si>
    <t>Feeding fee</t>
  </si>
  <si>
    <t>Masjid</t>
  </si>
  <si>
    <t>Poor</t>
  </si>
  <si>
    <t>Miscellaneous</t>
  </si>
  <si>
    <t>Bank fees</t>
  </si>
  <si>
    <t>Donations</t>
  </si>
  <si>
    <t>Family support</t>
  </si>
  <si>
    <t>Feeding Fee</t>
  </si>
  <si>
    <t>Childcare</t>
  </si>
  <si>
    <t>Household help</t>
  </si>
  <si>
    <t>June Salary</t>
  </si>
  <si>
    <t>Unplanned</t>
  </si>
  <si>
    <t>Beans</t>
  </si>
  <si>
    <t xml:space="preserve">Fauzia </t>
  </si>
  <si>
    <t>Polo's brother</t>
  </si>
  <si>
    <t>Slippers</t>
  </si>
  <si>
    <t>Police to arrest Abusua Panyin</t>
  </si>
  <si>
    <t>Spending Dashboard</t>
  </si>
  <si>
    <t>work at cemetery</t>
  </si>
  <si>
    <t>Period Type</t>
  </si>
  <si>
    <t>Payment to Mr Richard</t>
  </si>
  <si>
    <t>Paying off debt to wood seller</t>
  </si>
  <si>
    <t>Tiktok and Whatsapp payments</t>
  </si>
  <si>
    <t>Tip</t>
  </si>
  <si>
    <t>Change B2/B3/B4 to view any week, month, quarter, or year.</t>
  </si>
  <si>
    <t>Period</t>
  </si>
  <si>
    <t>Start Date</t>
  </si>
  <si>
    <t>Weekly Detail</t>
  </si>
  <si>
    <t>Week Start</t>
  </si>
  <si>
    <t>Week End</t>
  </si>
  <si>
    <t>Expenses</t>
  </si>
  <si>
    <t>Transfers</t>
  </si>
  <si>
    <t>Net</t>
  </si>
  <si>
    <t>End Date</t>
  </si>
  <si>
    <t>Total Expenses</t>
  </si>
  <si>
    <t>Total Income</t>
  </si>
  <si>
    <t>Total Transfers</t>
  </si>
  <si>
    <t>Net Cash Flow</t>
  </si>
  <si>
    <t>Monthly Detail</t>
  </si>
  <si>
    <t>Amount</t>
  </si>
  <si>
    <t>Quarterly Detail</t>
  </si>
  <si>
    <t>Yearly Detail</t>
  </si>
  <si>
    <t>ExpenseCategories</t>
  </si>
  <si>
    <t>IncomeCategories</t>
  </si>
  <si>
    <t>TransferOnly</t>
  </si>
  <si>
    <t>BlankList</t>
  </si>
  <si>
    <t>PaymentMethods</t>
  </si>
  <si>
    <t>Accounts</t>
  </si>
  <si>
    <t>Types</t>
  </si>
  <si>
    <t>MonthOptions</t>
  </si>
  <si>
    <t>QuarterOptions</t>
  </si>
  <si>
    <t>YearOptions</t>
  </si>
  <si>
    <t>WeekOptions</t>
  </si>
  <si>
    <t>Food_Drink_Expense</t>
  </si>
  <si>
    <t>Transport_Expense</t>
  </si>
  <si>
    <t>Bills_Utilities_Expense</t>
  </si>
  <si>
    <t>Shopping_Expense</t>
  </si>
  <si>
    <t>Health_Expense</t>
  </si>
  <si>
    <t>Entertainment_Expense</t>
  </si>
  <si>
    <t>Personal_Expense</t>
  </si>
  <si>
    <t>Family_Home_Expense</t>
  </si>
  <si>
    <t>Other_Expense</t>
  </si>
  <si>
    <t>Salary_Income</t>
  </si>
  <si>
    <t>Side_Income_Income</t>
  </si>
  <si>
    <t>Gifts_Income</t>
  </si>
  <si>
    <t>Refunds_Income</t>
  </si>
  <si>
    <t>Other_Income_Income</t>
  </si>
  <si>
    <t>Ecobank</t>
  </si>
  <si>
    <t>Full Year</t>
  </si>
  <si>
    <t>GCB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</si>
</sst>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m/d/yyyy"/>
    <numFmt numFmtId="166" formatCode="₵#,##0.00"/>
    <numFmt numFmtId="167" formatCode="&quot;$&quot;#,##0.00"/>
  </numFmts>
  <fonts count="12">
    <font>
      <sz val="11.0"/>
      <color theme="1"/>
      <name val="Calibri"/>
      <scheme val="minor"/>
    </font>
    <font>
      <b/>
      <color rgb="FFFFFFFF"/>
      <name val="Calibri"/>
      <scheme val="minor"/>
    </font>
    <font>
      <b/>
      <sz val="20.0"/>
      <color rgb="FFFFFFFF"/>
      <name val="Calibri"/>
      <scheme val="minor"/>
    </font>
    <font/>
    <font>
      <sz val="11.0"/>
      <color theme="1"/>
      <name val="Calibri"/>
    </font>
    <font>
      <b/>
      <color theme="1"/>
      <name val="Calibri"/>
      <scheme val="minor"/>
    </font>
    <font>
      <b/>
      <color rgb="FF1F4E78"/>
      <name val="Calibri"/>
      <scheme val="minor"/>
    </font>
    <font>
      <i/>
      <color rgb="FF666666"/>
      <name val="Calibri"/>
      <scheme val="minor"/>
    </font>
    <font>
      <color theme="1"/>
      <name val="Calibri"/>
      <scheme val="minor"/>
    </font>
    <font>
      <b/>
      <sz val="14.0"/>
      <color rgb="FFFFFFFF"/>
      <name val="Calibri"/>
      <scheme val="minor"/>
    </font>
    <font>
      <b/>
      <sz val="20.0"/>
      <color rgb="FF1F4E78"/>
      <name val="Calibri"/>
      <scheme val="minor"/>
    </font>
    <font>
      <b/>
      <sz val="18.0"/>
      <color rgb="FF1F4E78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1155CC"/>
        <bgColor rgb="FF1155CC"/>
      </patternFill>
    </fill>
    <fill>
      <patternFill patternType="solid">
        <fgColor rgb="FFE2F0D9"/>
        <bgColor rgb="FFE2F0D9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  <fill>
      <patternFill patternType="solid">
        <fgColor rgb="FF70AD47"/>
        <bgColor rgb="FF70AD47"/>
      </patternFill>
    </fill>
  </fills>
  <borders count="8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/>
      <right/>
      <top/>
      <bottom/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horizontal="center"/>
    </xf>
    <xf borderId="3" fillId="2" fontId="1" numFmtId="0" xfId="0" applyBorder="1" applyFill="1" applyFont="1"/>
    <xf borderId="4" fillId="0" fontId="3" numFmtId="0" xfId="0" applyBorder="1" applyFont="1"/>
    <xf borderId="1" fillId="2" fontId="1" numFmtId="0" xfId="0" applyAlignment="1" applyBorder="1" applyFill="1" applyFont="1">
      <alignment horizontal="center" readingOrder="0"/>
    </xf>
    <xf borderId="2" fillId="0" fontId="4" numFmtId="0" xfId="0" applyAlignment="1" applyBorder="1" applyFont="1">
      <alignment shrinkToFit="0" wrapText="1"/>
    </xf>
    <xf borderId="5" fillId="0" fontId="3" numFmtId="0" xfId="0" applyBorder="1" applyFont="1"/>
    <xf borderId="1" fillId="0" fontId="4" numFmtId="0" xfId="0" applyBorder="1" applyFont="1"/>
    <xf borderId="0" fillId="4" fontId="4" numFmtId="0" xfId="0" applyAlignment="1" applyFill="1" applyFont="1">
      <alignment readingOrder="0"/>
    </xf>
    <xf borderId="1" fillId="0" fontId="4" numFmtId="0" xfId="0" applyAlignment="1" applyBorder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shrinkToFit="0" wrapText="1"/>
    </xf>
    <xf borderId="1" fillId="5" fontId="5" numFmtId="0" xfId="0" applyBorder="1" applyFill="1" applyFont="1"/>
    <xf borderId="1" fillId="6" fontId="4" numFmtId="165" xfId="0" applyAlignment="1" applyBorder="1" applyFill="1" applyFont="1" applyNumberFormat="1">
      <alignment readingOrder="0" vertical="center"/>
    </xf>
    <xf borderId="1" fillId="0" fontId="6" numFmtId="0" xfId="0" applyBorder="1" applyFont="1"/>
    <xf borderId="0" fillId="0" fontId="4" numFmtId="0" xfId="0" applyAlignment="1" applyFont="1">
      <alignment readingOrder="0"/>
    </xf>
    <xf borderId="0" fillId="0" fontId="4" numFmtId="166" xfId="0" applyAlignment="1" applyFont="1" applyNumberFormat="1">
      <alignment readingOrder="0"/>
    </xf>
    <xf borderId="1" fillId="6" fontId="4" numFmtId="0" xfId="0" applyAlignment="1" applyBorder="1" applyFill="1" applyFont="1">
      <alignment readingOrder="0" vertical="center"/>
    </xf>
    <xf borderId="1" fillId="0" fontId="4" numFmtId="0" xfId="0" applyAlignment="1" applyBorder="1" applyFont="1">
      <alignment shrinkToFit="0" vertical="top" wrapText="1"/>
    </xf>
    <xf borderId="1" fillId="6" fontId="4" numFmtId="166" xfId="0" applyAlignment="1" applyBorder="1" applyFill="1" applyFont="1" applyNumberFormat="1">
      <alignment readingOrder="0" vertical="center"/>
    </xf>
    <xf borderId="1" fillId="5" fontId="5" numFmtId="0" xfId="0" applyAlignment="1" applyBorder="1" applyFill="1" applyFont="1">
      <alignment readingOrder="0"/>
    </xf>
    <xf borderId="1" fillId="6" fontId="4" numFmtId="167" xfId="0" applyAlignment="1" applyBorder="1" applyFill="1" applyFont="1" applyNumberFormat="1">
      <alignment readingOrder="0" vertical="center"/>
    </xf>
    <xf borderId="6" fillId="0" fontId="7" numFmtId="0" xfId="0" applyBorder="1" applyFont="1"/>
    <xf borderId="7" fillId="0" fontId="3" numFmtId="0" xfId="0" applyBorder="1" applyFont="1"/>
    <xf borderId="0" fillId="0" fontId="8" numFmtId="0" xfId="0" applyFont="1"/>
    <xf borderId="0" fillId="0" fontId="8" numFmtId="0" xfId="0" applyAlignment="1" applyFont="1">
      <alignment readingOrder="0"/>
    </xf>
    <xf borderId="2" fillId="7" fontId="9" numFmtId="0" xfId="0" applyAlignment="1" applyBorder="1" applyFill="1" applyFont="1">
      <alignment horizontal="center" vertical="center"/>
    </xf>
    <xf borderId="0" fillId="0" fontId="10" numFmtId="0" xfId="0" applyAlignment="1" applyFont="1">
      <alignment vertical="center"/>
    </xf>
    <xf borderId="1" fillId="0" fontId="5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1" fillId="6" fontId="4" numFmtId="0" xfId="0" applyAlignment="1" applyBorder="1" applyFill="1" applyFont="1">
      <alignment vertical="center"/>
    </xf>
    <xf borderId="0" fillId="0" fontId="4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5" numFmtId="0" xfId="0" applyAlignment="1" applyFont="1">
      <alignment vertical="center"/>
    </xf>
    <xf borderId="3" fillId="6" fontId="4" numFmtId="0" xfId="0" applyAlignment="1" applyBorder="1" applyFill="1" applyFont="1">
      <alignment vertical="center"/>
    </xf>
    <xf borderId="1" fillId="2" fontId="1" numFmtId="0" xfId="0" applyAlignment="1" applyBorder="1" applyFill="1" applyFont="1">
      <alignment vertical="center"/>
    </xf>
    <xf borderId="1" fillId="4" fontId="4" numFmtId="164" xfId="0" applyAlignment="1" applyBorder="1" applyFill="1" applyFont="1" applyNumberFormat="1">
      <alignment vertical="center"/>
    </xf>
    <xf borderId="1" fillId="0" fontId="4" numFmtId="164" xfId="0" applyAlignment="1" applyBorder="1" applyFont="1" applyNumberFormat="1">
      <alignment vertical="center"/>
    </xf>
    <xf borderId="1" fillId="5" fontId="5" numFmtId="0" xfId="0" applyAlignment="1" applyBorder="1" applyFill="1" applyFont="1">
      <alignment vertical="center"/>
    </xf>
    <xf borderId="1" fillId="4" fontId="4" numFmtId="166" xfId="0" applyAlignment="1" applyBorder="1" applyFill="1" applyFont="1" applyNumberFormat="1">
      <alignment vertical="center"/>
    </xf>
    <xf borderId="1" fillId="0" fontId="4" numFmtId="166" xfId="0" applyAlignment="1" applyBorder="1" applyFont="1" applyNumberFormat="1">
      <alignment vertical="center"/>
    </xf>
    <xf borderId="1" fillId="0" fontId="4" numFmtId="0" xfId="0" applyAlignment="1" applyBorder="1" applyFont="1">
      <alignment vertical="center"/>
    </xf>
    <xf borderId="0" fillId="0" fontId="4" numFmtId="164" xfId="0" applyFont="1" applyNumberFormat="1"/>
    <xf borderId="1" fillId="0" fontId="4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Spending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Dashboard!$B$16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Dashboard!$A$17:$A$28</c:f>
            </c:strRef>
          </c:cat>
          <c:val>
            <c:numRef>
              <c:f>Dashboard!$B$17:$B$28</c:f>
              <c:numCache/>
            </c:numRef>
          </c:val>
        </c:ser>
        <c:axId val="1443693137"/>
        <c:axId val="1078849341"/>
      </c:barChart>
      <c:catAx>
        <c:axId val="14436931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8849341"/>
      </c:catAx>
      <c:valAx>
        <c:axId val="10788493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GHS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36931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3</xdr:row>
      <xdr:rowOff>0</xdr:rowOff>
    </xdr:from>
    <xdr:ext cx="5038725" cy="43148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4.0"/>
    <col customWidth="1" min="3" max="3" width="34.0"/>
    <col customWidth="1" min="4" max="4" width="4.0"/>
    <col customWidth="1" hidden="1" min="5" max="5" width="48.0"/>
    <col customWidth="1" min="6" max="7" width="8.71"/>
    <col customWidth="1" hidden="1" min="8" max="8" width="15.14"/>
    <col customWidth="1" hidden="1" min="9" max="9" width="8.71"/>
    <col customWidth="1" min="10" max="26" width="8.71"/>
  </cols>
  <sheetData>
    <row r="2">
      <c r="B2" s="2" t="s">
        <v>0</v>
      </c>
      <c r="C2" s="4"/>
    </row>
    <row r="3" hidden="1">
      <c r="B3" s="6" t="s">
        <v>19</v>
      </c>
      <c r="C3" s="7"/>
      <c r="D3" s="7"/>
      <c r="E3" s="4"/>
    </row>
    <row r="5">
      <c r="B5" s="13" t="s">
        <v>9</v>
      </c>
      <c r="C5" s="14">
        <v>46146.0</v>
      </c>
      <c r="E5" s="15" t="s">
        <v>47</v>
      </c>
    </row>
    <row r="6">
      <c r="B6" s="13" t="s">
        <v>8</v>
      </c>
      <c r="C6" s="18" t="s">
        <v>28</v>
      </c>
      <c r="E6" s="19" t="s">
        <v>75</v>
      </c>
    </row>
    <row r="7">
      <c r="B7" s="13" t="s">
        <v>12</v>
      </c>
      <c r="C7" s="20"/>
      <c r="E7" s="19" t="s">
        <v>86</v>
      </c>
    </row>
    <row r="8">
      <c r="B8" s="21" t="s">
        <v>15</v>
      </c>
      <c r="C8" s="20"/>
      <c r="E8" s="19"/>
    </row>
    <row r="9">
      <c r="B9" s="13" t="s">
        <v>20</v>
      </c>
      <c r="C9" s="22" t="s">
        <v>18</v>
      </c>
      <c r="E9" s="19" t="s">
        <v>97</v>
      </c>
      <c r="H9" s="25" t="str">
        <f>IFERROR(__xludf.DUMMYFUNCTION("IF($C$6=""Expense"",UNIQUE(FILTER(Settings!A2:A999,Settings!A2:A999&lt;&gt;"""")),IF($C$6=""Income"",UNIQUE(FILTER(Settings!C2:C999,Settings!C2:C999&lt;&gt;"""")),""Transfer""))"),"Food Drink")</f>
        <v>Food Drink</v>
      </c>
      <c r="I9" s="25" t="str">
        <f>IFERROR(__xludf.DUMMYFUNCTION("IF($C$6=""Expense"",FILTER(Settings!B2:B999,Settings!A2:A999=$C$9),IF($C$6=""Income"",FILTER(Settings!D2:D999,Settings!C2:C999=$C$9),""""))"),"Groceries")</f>
        <v>Groceries</v>
      </c>
    </row>
    <row r="10">
      <c r="B10" s="13" t="s">
        <v>21</v>
      </c>
      <c r="C10" s="18" t="s">
        <v>23</v>
      </c>
      <c r="E10" s="19" t="s">
        <v>122</v>
      </c>
      <c r="H10" s="25" t="str">
        <f>IFERROR(__xludf.DUMMYFUNCTION("""COMPUTED_VALUE"""),"Transport")</f>
        <v>Transport</v>
      </c>
      <c r="I10" s="25" t="str">
        <f>IFERROR(__xludf.DUMMYFUNCTION("""COMPUTED_VALUE"""),"Restaurants")</f>
        <v>Restaurants</v>
      </c>
    </row>
    <row r="11">
      <c r="B11" s="13" t="s">
        <v>22</v>
      </c>
      <c r="C11" s="16"/>
      <c r="E11" s="25" t="s">
        <v>128</v>
      </c>
      <c r="H11" s="25" t="str">
        <f>IFERROR(__xludf.DUMMYFUNCTION("""COMPUTED_VALUE"""),"Investment")</f>
        <v>Investment</v>
      </c>
      <c r="I11" s="25" t="str">
        <f>IFERROR(__xludf.DUMMYFUNCTION("""COMPUTED_VALUE"""),"Takeaway")</f>
        <v>Takeaway</v>
      </c>
    </row>
    <row r="12">
      <c r="B12" s="13" t="s">
        <v>6</v>
      </c>
      <c r="C12" s="18"/>
      <c r="H12" s="25" t="str">
        <f>IFERROR(__xludf.DUMMYFUNCTION("""COMPUTED_VALUE"""),"Bills Utilities")</f>
        <v>Bills Utilities</v>
      </c>
      <c r="I12" s="25" t="str">
        <f>IFERROR(__xludf.DUMMYFUNCTION("""COMPUTED_VALUE"""),"Coffee Snacks")</f>
        <v>Coffee Snacks</v>
      </c>
    </row>
    <row r="13">
      <c r="B13" s="13" t="s">
        <v>7</v>
      </c>
      <c r="C13" s="18"/>
      <c r="H13" s="25" t="str">
        <f>IFERROR(__xludf.DUMMYFUNCTION("""COMPUTED_VALUE"""),"Shopping")</f>
        <v>Shopping</v>
      </c>
    </row>
    <row r="14">
      <c r="H14" s="25" t="str">
        <f>IFERROR(__xludf.DUMMYFUNCTION("""COMPUTED_VALUE"""),"Health")</f>
        <v>Health</v>
      </c>
    </row>
    <row r="15" ht="27.75" hidden="1" customHeight="1">
      <c r="B15" s="27" t="s">
        <v>142</v>
      </c>
      <c r="C15" s="4"/>
      <c r="H15" s="25" t="str">
        <f>IFERROR(__xludf.DUMMYFUNCTION("""COMPUTED_VALUE"""),"Entertainment")</f>
        <v>Entertainment</v>
      </c>
    </row>
    <row r="16">
      <c r="H16" s="25" t="str">
        <f>IFERROR(__xludf.DUMMYFUNCTION("""COMPUTED_VALUE"""),"Personal")</f>
        <v>Personal</v>
      </c>
    </row>
    <row r="17">
      <c r="H17" s="25" t="str">
        <f>IFERROR(__xludf.DUMMYFUNCTION("""COMPUTED_VALUE"""),"Family")</f>
        <v>Family</v>
      </c>
    </row>
    <row r="18">
      <c r="H18" s="25" t="str">
        <f>IFERROR(__xludf.DUMMYFUNCTION("""COMPUTED_VALUE"""),"Extended Family")</f>
        <v>Extended Family</v>
      </c>
    </row>
    <row r="19">
      <c r="H19" s="25" t="str">
        <f>IFERROR(__xludf.DUMMYFUNCTION("""COMPUTED_VALUE"""),"Loan Repayment")</f>
        <v>Loan Repayment</v>
      </c>
    </row>
    <row r="20" ht="15.75" customHeight="1">
      <c r="H20" s="25" t="str">
        <f>IFERROR(__xludf.DUMMYFUNCTION("""COMPUTED_VALUE"""),"Charity")</f>
        <v>Charity</v>
      </c>
    </row>
    <row r="21" ht="15.75" customHeight="1">
      <c r="H21" s="25" t="str">
        <f>IFERROR(__xludf.DUMMYFUNCTION("""COMPUTED_VALUE"""),"Other")</f>
        <v>Other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B2:C2"/>
    <mergeCell ref="B3:E3"/>
    <mergeCell ref="B15:C15"/>
  </mergeCells>
  <dataValidations>
    <dataValidation type="list" allowBlank="1" showErrorMessage="1" sqref="C9">
      <formula1>"Food Drink,Transport,Investment,Bills Utilities,Shopping,Health,Entertainment,Personal,Family,Extended Family,Loan Repayment,Charity,Other"</formula1>
    </dataValidation>
    <dataValidation type="list" allowBlank="1" showErrorMessage="1" sqref="C6">
      <formula1>"Expense,Income,Transfer"</formula1>
    </dataValidation>
    <dataValidation type="list" allowBlank="1" showErrorMessage="1" sqref="C13">
      <formula1>Settings!$F$2:$F$20</formula1>
    </dataValidation>
    <dataValidation type="decimal" operator="greaterThan" allowBlank="1" sqref="C7">
      <formula1>0.0</formula1>
    </dataValidation>
    <dataValidation type="list" allowBlank="1" showErrorMessage="1" sqref="C10">
      <formula1>"Groceries,Restaurants,Takeaway,Coffee Snacks"</formula1>
    </dataValidation>
    <dataValidation type="list" allowBlank="1" showErrorMessage="1" sqref="C12">
      <formula1>"Cash,Mobile Money,Card,Bank Transfer,Other"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0" width="22.0"/>
    <col customWidth="1" min="11" max="11" width="8.71"/>
    <col customWidth="1" min="12" max="12" width="70.0"/>
    <col customWidth="1" min="13" max="14" width="28.0"/>
    <col customWidth="1" min="15" max="26" width="8.7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10</v>
      </c>
      <c r="I1" s="1" t="s">
        <v>11</v>
      </c>
      <c r="J1" s="1" t="s">
        <v>13</v>
      </c>
      <c r="L1" s="3" t="s">
        <v>14</v>
      </c>
      <c r="M1" s="1" t="s">
        <v>16</v>
      </c>
      <c r="N1" s="1" t="s">
        <v>17</v>
      </c>
    </row>
    <row r="2">
      <c r="A2" s="8" t="s">
        <v>18</v>
      </c>
      <c r="B2" s="8" t="s">
        <v>23</v>
      </c>
      <c r="C2" s="8" t="s">
        <v>24</v>
      </c>
      <c r="D2" s="10" t="s">
        <v>25</v>
      </c>
      <c r="E2" s="8" t="s">
        <v>26</v>
      </c>
      <c r="F2" s="10" t="s">
        <v>27</v>
      </c>
      <c r="G2" s="8" t="s">
        <v>28</v>
      </c>
      <c r="H2" s="8" t="s">
        <v>29</v>
      </c>
      <c r="I2" s="8" t="s">
        <v>30</v>
      </c>
      <c r="J2" s="8">
        <v>2024.0</v>
      </c>
      <c r="L2" s="12" t="s">
        <v>31</v>
      </c>
      <c r="M2" s="8" t="s">
        <v>18</v>
      </c>
      <c r="N2" s="8" t="s">
        <v>23</v>
      </c>
    </row>
    <row r="3">
      <c r="A3" s="8" t="s">
        <v>18</v>
      </c>
      <c r="B3" s="8" t="s">
        <v>32</v>
      </c>
      <c r="C3" s="8" t="s">
        <v>24</v>
      </c>
      <c r="D3" s="10" t="s">
        <v>33</v>
      </c>
      <c r="E3" s="8" t="s">
        <v>34</v>
      </c>
      <c r="F3" s="8" t="s">
        <v>35</v>
      </c>
      <c r="G3" s="8" t="s">
        <v>36</v>
      </c>
      <c r="H3" s="8" t="s">
        <v>37</v>
      </c>
      <c r="I3" s="8" t="s">
        <v>38</v>
      </c>
      <c r="J3" s="8">
        <v>2025.0</v>
      </c>
      <c r="L3" s="12" t="s">
        <v>39</v>
      </c>
      <c r="M3" s="8" t="s">
        <v>40</v>
      </c>
      <c r="N3" s="8" t="s">
        <v>41</v>
      </c>
    </row>
    <row r="4">
      <c r="A4" s="8" t="s">
        <v>18</v>
      </c>
      <c r="B4" s="8" t="s">
        <v>42</v>
      </c>
      <c r="C4" s="8" t="s">
        <v>43</v>
      </c>
      <c r="D4" s="8" t="s">
        <v>44</v>
      </c>
      <c r="E4" s="8" t="s">
        <v>45</v>
      </c>
      <c r="F4" s="8" t="s">
        <v>26</v>
      </c>
      <c r="G4" s="8" t="s">
        <v>46</v>
      </c>
      <c r="H4" s="8" t="s">
        <v>48</v>
      </c>
      <c r="I4" s="8" t="s">
        <v>49</v>
      </c>
      <c r="J4" s="8">
        <v>2026.0</v>
      </c>
      <c r="L4" s="12" t="s">
        <v>50</v>
      </c>
      <c r="M4" s="8" t="s">
        <v>51</v>
      </c>
      <c r="N4" s="8" t="s">
        <v>32</v>
      </c>
    </row>
    <row r="5">
      <c r="A5" s="8" t="s">
        <v>18</v>
      </c>
      <c r="B5" s="8" t="s">
        <v>52</v>
      </c>
      <c r="C5" s="8" t="s">
        <v>43</v>
      </c>
      <c r="D5" s="8" t="s">
        <v>53</v>
      </c>
      <c r="E5" s="8" t="s">
        <v>54</v>
      </c>
      <c r="F5" s="8" t="s">
        <v>55</v>
      </c>
      <c r="G5" s="8"/>
      <c r="H5" s="8" t="s">
        <v>56</v>
      </c>
      <c r="I5" s="8" t="s">
        <v>57</v>
      </c>
      <c r="J5" s="8">
        <v>2027.0</v>
      </c>
      <c r="L5" s="12" t="s">
        <v>58</v>
      </c>
      <c r="M5" s="8" t="s">
        <v>59</v>
      </c>
      <c r="N5" s="8" t="s">
        <v>60</v>
      </c>
    </row>
    <row r="6">
      <c r="A6" s="8" t="s">
        <v>40</v>
      </c>
      <c r="B6" s="8" t="s">
        <v>61</v>
      </c>
      <c r="C6" s="8" t="s">
        <v>62</v>
      </c>
      <c r="D6" s="8" t="s">
        <v>64</v>
      </c>
      <c r="E6" s="8" t="s">
        <v>55</v>
      </c>
      <c r="F6" s="8"/>
      <c r="G6" s="8"/>
      <c r="H6" s="8" t="s">
        <v>65</v>
      </c>
      <c r="I6" s="8"/>
      <c r="J6" s="8">
        <v>2028.0</v>
      </c>
      <c r="L6" s="12" t="s">
        <v>66</v>
      </c>
      <c r="M6" s="8" t="s">
        <v>67</v>
      </c>
      <c r="N6" s="8" t="s">
        <v>42</v>
      </c>
    </row>
    <row r="7">
      <c r="A7" s="8" t="s">
        <v>40</v>
      </c>
      <c r="B7" s="8" t="s">
        <v>68</v>
      </c>
      <c r="C7" s="8" t="s">
        <v>69</v>
      </c>
      <c r="D7" s="8" t="s">
        <v>70</v>
      </c>
      <c r="E7" s="8"/>
      <c r="F7" s="8"/>
      <c r="G7" s="8"/>
      <c r="H7" s="8" t="s">
        <v>71</v>
      </c>
      <c r="I7" s="8"/>
      <c r="J7" s="8">
        <v>2029.0</v>
      </c>
      <c r="M7" s="8" t="s">
        <v>72</v>
      </c>
      <c r="N7" s="8" t="s">
        <v>44</v>
      </c>
    </row>
    <row r="8">
      <c r="A8" s="8" t="s">
        <v>40</v>
      </c>
      <c r="B8" s="8" t="s">
        <v>73</v>
      </c>
      <c r="C8" s="8" t="s">
        <v>69</v>
      </c>
      <c r="D8" s="8" t="s">
        <v>74</v>
      </c>
      <c r="E8" s="8"/>
      <c r="F8" s="8"/>
      <c r="G8" s="8"/>
      <c r="H8" s="8" t="s">
        <v>76</v>
      </c>
      <c r="I8" s="8"/>
      <c r="J8" s="8">
        <v>2030.0</v>
      </c>
      <c r="M8" s="8" t="s">
        <v>77</v>
      </c>
      <c r="N8" s="8" t="s">
        <v>52</v>
      </c>
    </row>
    <row r="9">
      <c r="A9" s="8" t="s">
        <v>40</v>
      </c>
      <c r="B9" s="8" t="s">
        <v>78</v>
      </c>
      <c r="C9" s="8" t="s">
        <v>79</v>
      </c>
      <c r="D9" s="8" t="s">
        <v>55</v>
      </c>
      <c r="E9" s="8"/>
      <c r="F9" s="8"/>
      <c r="G9" s="8"/>
      <c r="H9" s="8" t="s">
        <v>80</v>
      </c>
      <c r="I9" s="8"/>
      <c r="J9" s="8"/>
      <c r="M9" s="8" t="s">
        <v>82</v>
      </c>
      <c r="N9" s="8" t="s">
        <v>53</v>
      </c>
    </row>
    <row r="10">
      <c r="A10" s="8" t="s">
        <v>40</v>
      </c>
      <c r="B10" s="8" t="s">
        <v>83</v>
      </c>
      <c r="C10" s="8"/>
      <c r="D10" s="8"/>
      <c r="E10" s="8"/>
      <c r="F10" s="8"/>
      <c r="G10" s="8"/>
      <c r="H10" s="8" t="s">
        <v>84</v>
      </c>
      <c r="I10" s="8"/>
      <c r="J10" s="8"/>
      <c r="M10" s="8" t="s">
        <v>55</v>
      </c>
      <c r="N10" s="8" t="s">
        <v>61</v>
      </c>
    </row>
    <row r="11">
      <c r="A11" s="10" t="s">
        <v>40</v>
      </c>
      <c r="B11" s="10" t="s">
        <v>85</v>
      </c>
      <c r="C11" s="8"/>
      <c r="D11" s="8"/>
      <c r="E11" s="8"/>
      <c r="F11" s="8"/>
      <c r="G11" s="8"/>
      <c r="H11" s="8" t="s">
        <v>87</v>
      </c>
      <c r="I11" s="8"/>
      <c r="J11" s="8"/>
      <c r="M11" s="8" t="s">
        <v>24</v>
      </c>
      <c r="N11" s="8" t="s">
        <v>64</v>
      </c>
    </row>
    <row r="12">
      <c r="A12" s="10" t="s">
        <v>88</v>
      </c>
      <c r="B12" s="10" t="s">
        <v>89</v>
      </c>
      <c r="C12" s="8"/>
      <c r="D12" s="8"/>
      <c r="E12" s="8"/>
      <c r="F12" s="8"/>
      <c r="G12" s="8"/>
      <c r="H12" s="8" t="s">
        <v>90</v>
      </c>
      <c r="I12" s="8"/>
      <c r="J12" s="8"/>
      <c r="M12" s="8" t="s">
        <v>43</v>
      </c>
      <c r="N12" s="8" t="s">
        <v>68</v>
      </c>
    </row>
    <row r="13">
      <c r="A13" s="8" t="s">
        <v>51</v>
      </c>
      <c r="B13" s="8" t="s">
        <v>92</v>
      </c>
      <c r="C13" s="8"/>
      <c r="D13" s="8"/>
      <c r="E13" s="8"/>
      <c r="F13" s="8"/>
      <c r="G13" s="8"/>
      <c r="H13" s="8" t="s">
        <v>93</v>
      </c>
      <c r="I13" s="8"/>
      <c r="J13" s="8"/>
      <c r="M13" s="8" t="s">
        <v>62</v>
      </c>
      <c r="N13" s="8" t="s">
        <v>70</v>
      </c>
    </row>
    <row r="14">
      <c r="A14" s="8" t="s">
        <v>51</v>
      </c>
      <c r="B14" s="8" t="s">
        <v>94</v>
      </c>
      <c r="C14" s="8"/>
      <c r="D14" s="8"/>
      <c r="E14" s="8"/>
      <c r="F14" s="8"/>
      <c r="G14" s="8"/>
      <c r="H14" s="8"/>
      <c r="I14" s="8"/>
      <c r="J14" s="8"/>
      <c r="M14" s="8" t="s">
        <v>69</v>
      </c>
      <c r="N14" s="8" t="s">
        <v>73</v>
      </c>
    </row>
    <row r="15">
      <c r="A15" s="8" t="s">
        <v>51</v>
      </c>
      <c r="B15" s="8" t="s">
        <v>96</v>
      </c>
      <c r="C15" s="8"/>
      <c r="D15" s="8"/>
      <c r="E15" s="8"/>
      <c r="F15" s="8"/>
      <c r="G15" s="8"/>
      <c r="H15" s="8"/>
      <c r="I15" s="8"/>
      <c r="J15" s="8"/>
      <c r="M15" s="8" t="s">
        <v>79</v>
      </c>
      <c r="N15" s="8" t="s">
        <v>74</v>
      </c>
    </row>
    <row r="16">
      <c r="A16" s="8" t="s">
        <v>51</v>
      </c>
      <c r="B16" s="8" t="s">
        <v>98</v>
      </c>
      <c r="C16" s="8"/>
      <c r="D16" s="8"/>
      <c r="E16" s="8"/>
      <c r="F16" s="8"/>
      <c r="G16" s="8"/>
      <c r="H16" s="8"/>
      <c r="I16" s="8"/>
      <c r="J16" s="8"/>
      <c r="M16" s="8" t="s">
        <v>46</v>
      </c>
      <c r="N16" s="8" t="s">
        <v>78</v>
      </c>
    </row>
    <row r="17">
      <c r="A17" s="8" t="s">
        <v>51</v>
      </c>
      <c r="B17" s="8" t="s">
        <v>101</v>
      </c>
      <c r="C17" s="8"/>
      <c r="D17" s="8"/>
      <c r="E17" s="8"/>
      <c r="F17" s="8"/>
      <c r="G17" s="8"/>
      <c r="H17" s="8"/>
      <c r="I17" s="8"/>
      <c r="J17" s="8"/>
      <c r="N17" s="8" t="s">
        <v>55</v>
      </c>
    </row>
    <row r="18">
      <c r="A18" s="8" t="s">
        <v>51</v>
      </c>
      <c r="B18" s="8" t="s">
        <v>102</v>
      </c>
      <c r="C18" s="8"/>
      <c r="D18" s="8"/>
      <c r="E18" s="8"/>
      <c r="F18" s="8"/>
      <c r="G18" s="8"/>
      <c r="H18" s="8"/>
      <c r="I18" s="8"/>
      <c r="J18" s="8"/>
      <c r="N18" s="8" t="s">
        <v>83</v>
      </c>
    </row>
    <row r="19">
      <c r="A19" s="8" t="s">
        <v>59</v>
      </c>
      <c r="B19" s="8" t="s">
        <v>104</v>
      </c>
      <c r="C19" s="8"/>
      <c r="D19" s="8"/>
      <c r="E19" s="8"/>
      <c r="F19" s="8"/>
      <c r="G19" s="8"/>
      <c r="H19" s="8"/>
      <c r="I19" s="8"/>
      <c r="J19" s="8"/>
      <c r="N19" s="8" t="s">
        <v>92</v>
      </c>
    </row>
    <row r="20">
      <c r="A20" s="8" t="s">
        <v>59</v>
      </c>
      <c r="B20" s="8" t="s">
        <v>105</v>
      </c>
      <c r="C20" s="8"/>
      <c r="D20" s="8"/>
      <c r="E20" s="8"/>
      <c r="F20" s="8"/>
      <c r="G20" s="8"/>
      <c r="H20" s="8"/>
      <c r="I20" s="8"/>
      <c r="J20" s="8"/>
      <c r="M20" s="23" t="s">
        <v>108</v>
      </c>
      <c r="N20" s="24"/>
    </row>
    <row r="21" ht="15.75" customHeight="1">
      <c r="A21" s="8" t="s">
        <v>59</v>
      </c>
      <c r="B21" s="8" t="s">
        <v>112</v>
      </c>
      <c r="C21" s="8"/>
      <c r="D21" s="8"/>
      <c r="E21" s="8"/>
      <c r="F21" s="8"/>
      <c r="G21" s="8"/>
      <c r="H21" s="8"/>
      <c r="I21" s="8"/>
      <c r="J21" s="8"/>
      <c r="N21" s="8" t="s">
        <v>96</v>
      </c>
    </row>
    <row r="22" ht="15.75" customHeight="1">
      <c r="A22" s="8" t="s">
        <v>59</v>
      </c>
      <c r="B22" s="8" t="s">
        <v>113</v>
      </c>
      <c r="C22" s="8"/>
      <c r="D22" s="8"/>
      <c r="E22" s="8"/>
      <c r="F22" s="8"/>
      <c r="G22" s="8"/>
      <c r="H22" s="8"/>
      <c r="I22" s="8"/>
      <c r="J22" s="8"/>
      <c r="N22" s="8" t="s">
        <v>98</v>
      </c>
    </row>
    <row r="23" ht="15.75" customHeight="1">
      <c r="A23" s="8" t="s">
        <v>67</v>
      </c>
      <c r="B23" s="8" t="s">
        <v>115</v>
      </c>
      <c r="C23" s="8"/>
      <c r="D23" s="8"/>
      <c r="E23" s="8"/>
      <c r="F23" s="8"/>
      <c r="G23" s="8"/>
      <c r="H23" s="8"/>
      <c r="I23" s="8"/>
      <c r="J23" s="8"/>
      <c r="N23" s="8" t="s">
        <v>101</v>
      </c>
    </row>
    <row r="24" ht="15.75" customHeight="1">
      <c r="A24" s="8" t="s">
        <v>67</v>
      </c>
      <c r="B24" s="8" t="s">
        <v>116</v>
      </c>
      <c r="C24" s="8"/>
      <c r="D24" s="8"/>
      <c r="E24" s="8"/>
      <c r="F24" s="8"/>
      <c r="G24" s="8"/>
      <c r="H24" s="8"/>
      <c r="I24" s="8"/>
      <c r="J24" s="8"/>
      <c r="N24" s="8" t="s">
        <v>102</v>
      </c>
    </row>
    <row r="25" ht="15.75" customHeight="1">
      <c r="A25" s="8" t="s">
        <v>67</v>
      </c>
      <c r="B25" s="8" t="s">
        <v>119</v>
      </c>
      <c r="C25" s="8"/>
      <c r="D25" s="8"/>
      <c r="E25" s="8"/>
      <c r="F25" s="8"/>
      <c r="G25" s="8"/>
      <c r="H25" s="8"/>
      <c r="I25" s="8"/>
      <c r="J25" s="8"/>
      <c r="N25" s="8" t="s">
        <v>104</v>
      </c>
    </row>
    <row r="26" ht="15.75" customHeight="1">
      <c r="A26" s="8" t="s">
        <v>67</v>
      </c>
      <c r="B26" s="8" t="s">
        <v>121</v>
      </c>
      <c r="C26" s="8"/>
      <c r="D26" s="8"/>
      <c r="E26" s="8"/>
      <c r="F26" s="8"/>
      <c r="G26" s="8"/>
      <c r="H26" s="8"/>
      <c r="I26" s="8"/>
      <c r="J26" s="8"/>
      <c r="N26" s="8" t="s">
        <v>105</v>
      </c>
    </row>
    <row r="27" ht="15.75" customHeight="1">
      <c r="A27" s="8" t="s">
        <v>72</v>
      </c>
      <c r="B27" s="8" t="s">
        <v>125</v>
      </c>
      <c r="C27" s="8"/>
      <c r="D27" s="8"/>
      <c r="E27" s="8"/>
      <c r="F27" s="8"/>
      <c r="G27" s="8"/>
      <c r="H27" s="8"/>
      <c r="I27" s="8"/>
      <c r="J27" s="8"/>
      <c r="N27" s="8" t="s">
        <v>112</v>
      </c>
    </row>
    <row r="28" ht="15.75" customHeight="1">
      <c r="A28" s="8" t="s">
        <v>72</v>
      </c>
      <c r="B28" s="8" t="s">
        <v>126</v>
      </c>
      <c r="C28" s="8"/>
      <c r="D28" s="8"/>
      <c r="E28" s="8"/>
      <c r="F28" s="8"/>
      <c r="G28" s="8"/>
      <c r="H28" s="8"/>
      <c r="I28" s="8"/>
      <c r="J28" s="8"/>
      <c r="N28" s="8" t="s">
        <v>113</v>
      </c>
    </row>
    <row r="29" ht="15.75" customHeight="1">
      <c r="A29" s="8" t="s">
        <v>72</v>
      </c>
      <c r="B29" s="8" t="s">
        <v>129</v>
      </c>
      <c r="C29" s="8"/>
      <c r="D29" s="8"/>
      <c r="E29" s="8"/>
      <c r="F29" s="8"/>
      <c r="G29" s="8"/>
      <c r="H29" s="8"/>
      <c r="I29" s="8"/>
      <c r="J29" s="8"/>
      <c r="N29" s="8" t="s">
        <v>115</v>
      </c>
    </row>
    <row r="30" ht="15.75" customHeight="1">
      <c r="A30" s="8" t="s">
        <v>72</v>
      </c>
      <c r="B30" s="8" t="s">
        <v>130</v>
      </c>
      <c r="C30" s="8"/>
      <c r="D30" s="8"/>
      <c r="E30" s="8"/>
      <c r="F30" s="8"/>
      <c r="G30" s="8"/>
      <c r="H30" s="8"/>
      <c r="I30" s="8"/>
      <c r="J30" s="8"/>
      <c r="N30" s="8" t="s">
        <v>116</v>
      </c>
    </row>
    <row r="31" ht="15.75" customHeight="1">
      <c r="A31" s="8" t="s">
        <v>77</v>
      </c>
      <c r="B31" s="10" t="s">
        <v>133</v>
      </c>
      <c r="C31" s="8"/>
      <c r="D31" s="8"/>
      <c r="E31" s="8"/>
      <c r="F31" s="8"/>
      <c r="G31" s="8"/>
      <c r="H31" s="8"/>
      <c r="I31" s="8"/>
      <c r="J31" s="8"/>
      <c r="N31" s="8" t="s">
        <v>119</v>
      </c>
    </row>
    <row r="32" ht="15.75" customHeight="1">
      <c r="A32" s="8" t="s">
        <v>77</v>
      </c>
      <c r="B32" s="8" t="s">
        <v>62</v>
      </c>
      <c r="C32" s="8"/>
      <c r="D32" s="8"/>
      <c r="E32" s="8"/>
      <c r="F32" s="8"/>
      <c r="G32" s="8"/>
      <c r="H32" s="8"/>
      <c r="I32" s="8"/>
      <c r="J32" s="8"/>
      <c r="N32" s="8" t="s">
        <v>125</v>
      </c>
    </row>
    <row r="33" ht="15.75" customHeight="1">
      <c r="A33" s="8" t="s">
        <v>77</v>
      </c>
      <c r="B33" s="8" t="s">
        <v>135</v>
      </c>
      <c r="C33" s="8"/>
      <c r="D33" s="8"/>
      <c r="E33" s="8"/>
      <c r="F33" s="8"/>
      <c r="G33" s="8"/>
      <c r="H33" s="8"/>
      <c r="I33" s="8"/>
      <c r="J33" s="8"/>
      <c r="N33" s="8" t="s">
        <v>126</v>
      </c>
    </row>
    <row r="34" ht="15.75" customHeight="1">
      <c r="A34" s="10" t="s">
        <v>136</v>
      </c>
      <c r="B34" s="26" t="s">
        <v>110</v>
      </c>
      <c r="C34" s="8"/>
      <c r="D34" s="8"/>
      <c r="E34" s="8"/>
      <c r="F34" s="8"/>
      <c r="G34" s="8"/>
      <c r="H34" s="8"/>
      <c r="I34" s="8"/>
      <c r="J34" s="8"/>
      <c r="N34" s="8" t="s">
        <v>129</v>
      </c>
    </row>
    <row r="35" ht="15.75" customHeight="1">
      <c r="A35" s="10" t="s">
        <v>136</v>
      </c>
      <c r="B35" s="10" t="s">
        <v>138</v>
      </c>
      <c r="C35" s="8"/>
      <c r="D35" s="8"/>
      <c r="E35" s="8"/>
      <c r="F35" s="8"/>
      <c r="G35" s="8"/>
      <c r="H35" s="8"/>
      <c r="I35" s="8"/>
      <c r="J35" s="8"/>
      <c r="N35" s="8"/>
    </row>
    <row r="36" ht="15.75" customHeight="1">
      <c r="A36" s="10" t="s">
        <v>136</v>
      </c>
      <c r="B36" s="10" t="s">
        <v>139</v>
      </c>
      <c r="C36" s="8"/>
      <c r="D36" s="8"/>
      <c r="E36" s="8"/>
      <c r="F36" s="8"/>
      <c r="G36" s="8"/>
      <c r="H36" s="8"/>
      <c r="I36" s="8"/>
      <c r="J36" s="8"/>
      <c r="N36" s="8"/>
    </row>
    <row r="37" ht="15.75" customHeight="1">
      <c r="A37" s="10" t="s">
        <v>99</v>
      </c>
      <c r="B37" s="10" t="s">
        <v>106</v>
      </c>
      <c r="C37" s="8"/>
      <c r="D37" s="8"/>
      <c r="E37" s="8"/>
      <c r="F37" s="8"/>
      <c r="G37" s="8"/>
      <c r="H37" s="8"/>
      <c r="I37" s="8"/>
      <c r="J37" s="8"/>
      <c r="N37" s="8"/>
    </row>
    <row r="38" ht="15.75" customHeight="1">
      <c r="A38" s="10" t="s">
        <v>99</v>
      </c>
      <c r="B38" s="10" t="s">
        <v>127</v>
      </c>
      <c r="C38" s="8"/>
      <c r="D38" s="8"/>
      <c r="E38" s="8"/>
      <c r="F38" s="8"/>
      <c r="G38" s="8"/>
      <c r="H38" s="8"/>
      <c r="I38" s="8"/>
      <c r="J38" s="8"/>
      <c r="N38" s="8"/>
    </row>
    <row r="39" ht="15.75" customHeight="1">
      <c r="A39" s="10" t="s">
        <v>99</v>
      </c>
      <c r="B39" s="10" t="s">
        <v>123</v>
      </c>
      <c r="C39" s="8"/>
      <c r="D39" s="8"/>
      <c r="E39" s="8"/>
      <c r="F39" s="8"/>
      <c r="G39" s="8"/>
      <c r="H39" s="8"/>
      <c r="I39" s="8"/>
      <c r="J39" s="8"/>
      <c r="N39" s="8"/>
    </row>
    <row r="40" ht="15.75" customHeight="1">
      <c r="A40" s="10" t="s">
        <v>99</v>
      </c>
      <c r="B40" s="10" t="s">
        <v>143</v>
      </c>
      <c r="C40" s="8"/>
      <c r="D40" s="8"/>
      <c r="E40" s="8"/>
      <c r="F40" s="8"/>
      <c r="G40" s="8"/>
      <c r="H40" s="8"/>
      <c r="I40" s="8"/>
      <c r="J40" s="8"/>
      <c r="N40" s="8"/>
    </row>
    <row r="41" ht="15.75" customHeight="1">
      <c r="A41" s="10" t="s">
        <v>99</v>
      </c>
      <c r="B41" s="10" t="s">
        <v>144</v>
      </c>
      <c r="C41" s="8"/>
      <c r="D41" s="8"/>
      <c r="E41" s="8"/>
      <c r="F41" s="8"/>
      <c r="G41" s="8"/>
      <c r="H41" s="8"/>
      <c r="I41" s="8"/>
      <c r="J41" s="8"/>
      <c r="N41" s="8"/>
    </row>
    <row r="42" ht="15.75" customHeight="1">
      <c r="A42" s="10" t="s">
        <v>99</v>
      </c>
      <c r="B42" s="10" t="s">
        <v>146</v>
      </c>
      <c r="C42" s="8"/>
      <c r="D42" s="8"/>
      <c r="E42" s="8"/>
      <c r="F42" s="8"/>
      <c r="G42" s="8"/>
      <c r="H42" s="8"/>
      <c r="I42" s="8"/>
      <c r="J42" s="8"/>
      <c r="N42" s="8"/>
    </row>
    <row r="43" ht="15.75" customHeight="1">
      <c r="A43" s="10" t="s">
        <v>99</v>
      </c>
      <c r="B43" s="10" t="s">
        <v>147</v>
      </c>
      <c r="C43" s="8"/>
      <c r="D43" s="8"/>
      <c r="E43" s="8"/>
      <c r="F43" s="8"/>
      <c r="G43" s="8"/>
      <c r="H43" s="8"/>
      <c r="I43" s="8"/>
      <c r="J43" s="8"/>
      <c r="N43" s="8"/>
    </row>
    <row r="44" ht="15.75" customHeight="1">
      <c r="A44" s="10" t="s">
        <v>99</v>
      </c>
      <c r="B44" s="10" t="s">
        <v>148</v>
      </c>
      <c r="C44" s="8"/>
      <c r="D44" s="8"/>
      <c r="E44" s="8"/>
      <c r="F44" s="8"/>
      <c r="G44" s="8"/>
      <c r="H44" s="8"/>
      <c r="I44" s="8"/>
      <c r="J44" s="8"/>
      <c r="N44" s="8"/>
    </row>
    <row r="45" ht="15.75" customHeight="1">
      <c r="A45" s="10" t="s">
        <v>99</v>
      </c>
      <c r="B45" s="10" t="s">
        <v>100</v>
      </c>
      <c r="C45" s="8"/>
      <c r="D45" s="8"/>
      <c r="E45" s="8"/>
      <c r="F45" s="8"/>
      <c r="G45" s="8"/>
      <c r="H45" s="8"/>
      <c r="I45" s="8"/>
      <c r="J45" s="8"/>
      <c r="N45" s="8"/>
    </row>
    <row r="46" ht="15.75" customHeight="1">
      <c r="A46" s="10" t="s">
        <v>99</v>
      </c>
      <c r="B46" s="10" t="s">
        <v>150</v>
      </c>
      <c r="C46" s="8"/>
      <c r="D46" s="8"/>
      <c r="E46" s="8"/>
      <c r="F46" s="8"/>
      <c r="G46" s="8"/>
      <c r="H46" s="8"/>
      <c r="I46" s="8"/>
      <c r="J46" s="8"/>
      <c r="N46" s="8"/>
    </row>
    <row r="47" ht="15.75" customHeight="1">
      <c r="A47" s="10" t="s">
        <v>99</v>
      </c>
      <c r="B47" s="10" t="s">
        <v>137</v>
      </c>
      <c r="C47" s="8"/>
      <c r="D47" s="8"/>
      <c r="E47" s="8"/>
      <c r="F47" s="8"/>
      <c r="G47" s="8"/>
      <c r="H47" s="8"/>
      <c r="I47" s="8"/>
      <c r="J47" s="8"/>
      <c r="N47" s="8" t="s">
        <v>130</v>
      </c>
    </row>
    <row r="48" ht="15.75" customHeight="1">
      <c r="A48" s="10" t="s">
        <v>109</v>
      </c>
      <c r="B48" s="10" t="s">
        <v>110</v>
      </c>
      <c r="C48" s="8"/>
      <c r="D48" s="8"/>
      <c r="E48" s="8"/>
      <c r="F48" s="8"/>
      <c r="G48" s="8"/>
      <c r="H48" s="8"/>
      <c r="I48" s="8"/>
      <c r="J48" s="8"/>
      <c r="N48" s="8" t="s">
        <v>152</v>
      </c>
    </row>
    <row r="49" ht="15.75" customHeight="1">
      <c r="A49" s="10" t="s">
        <v>117</v>
      </c>
      <c r="B49" s="10" t="s">
        <v>154</v>
      </c>
      <c r="C49" s="8"/>
      <c r="D49" s="8"/>
      <c r="E49" s="8"/>
      <c r="G49" s="8"/>
      <c r="H49" s="8"/>
      <c r="I49" s="8"/>
      <c r="J49" s="8"/>
      <c r="N49" s="8"/>
    </row>
    <row r="50" ht="15.75" customHeight="1">
      <c r="A50" s="10" t="s">
        <v>117</v>
      </c>
      <c r="B50" s="10" t="s">
        <v>155</v>
      </c>
      <c r="C50" s="8"/>
      <c r="D50" s="8"/>
      <c r="E50" s="8"/>
      <c r="G50" s="8"/>
      <c r="H50" s="8"/>
      <c r="I50" s="8"/>
      <c r="J50" s="8"/>
      <c r="N50" s="8"/>
    </row>
    <row r="51" ht="15.75" customHeight="1">
      <c r="A51" s="10" t="s">
        <v>117</v>
      </c>
      <c r="B51" s="10" t="s">
        <v>131</v>
      </c>
      <c r="C51" s="8"/>
      <c r="D51" s="8"/>
      <c r="E51" s="8"/>
      <c r="G51" s="8"/>
      <c r="H51" s="8"/>
      <c r="I51" s="8"/>
      <c r="J51" s="8"/>
      <c r="N51" s="8" t="s">
        <v>62</v>
      </c>
    </row>
    <row r="52" ht="15.75" customHeight="1">
      <c r="A52" s="8" t="s">
        <v>55</v>
      </c>
      <c r="B52" s="8" t="s">
        <v>156</v>
      </c>
      <c r="N52" s="8" t="s">
        <v>135</v>
      </c>
    </row>
    <row r="53" ht="15.75" customHeight="1">
      <c r="A53" s="8" t="s">
        <v>55</v>
      </c>
      <c r="B53" s="8" t="s">
        <v>157</v>
      </c>
      <c r="N53" s="8" t="s">
        <v>158</v>
      </c>
    </row>
    <row r="54" ht="15.75" customHeight="1">
      <c r="A54" s="10" t="s">
        <v>55</v>
      </c>
      <c r="B54" s="10" t="s">
        <v>117</v>
      </c>
      <c r="N54" s="8" t="s">
        <v>159</v>
      </c>
    </row>
    <row r="55" ht="15.75" customHeight="1">
      <c r="A55" s="10" t="s">
        <v>55</v>
      </c>
      <c r="B55" s="10" t="s">
        <v>134</v>
      </c>
      <c r="N55" s="8" t="s">
        <v>161</v>
      </c>
    </row>
    <row r="56" ht="15.75" customHeight="1">
      <c r="A56" s="8" t="s">
        <v>55</v>
      </c>
      <c r="B56" s="10" t="s">
        <v>114</v>
      </c>
      <c r="N56" s="8" t="s">
        <v>162</v>
      </c>
    </row>
    <row r="57" ht="15.75" customHeight="1">
      <c r="N57" s="8" t="s">
        <v>156</v>
      </c>
    </row>
    <row r="58" ht="15.75" customHeight="1">
      <c r="N58" s="8" t="s">
        <v>157</v>
      </c>
    </row>
    <row r="59" ht="15.75" customHeight="1">
      <c r="N59" s="8" t="s">
        <v>164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autoFilter ref="$A$1:$J$51"/>
  <mergeCells count="1">
    <mergeCell ref="M20:N2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3" width="14.0"/>
    <col customWidth="1" min="4" max="4" width="16.0"/>
    <col customWidth="1" min="5" max="6" width="20.0"/>
    <col customWidth="1" min="7" max="7" width="24.0"/>
    <col customWidth="1" min="8" max="8" width="34.0"/>
    <col customWidth="1" min="9" max="10" width="18.0"/>
    <col customWidth="1" min="11" max="27" width="8.71"/>
  </cols>
  <sheetData>
    <row r="1">
      <c r="A1" s="1" t="s">
        <v>2</v>
      </c>
      <c r="B1" s="1" t="s">
        <v>9</v>
      </c>
      <c r="C1" s="1" t="s">
        <v>8</v>
      </c>
      <c r="D1" s="1" t="s">
        <v>12</v>
      </c>
      <c r="E1" s="5" t="s">
        <v>15</v>
      </c>
      <c r="F1" s="1" t="s">
        <v>20</v>
      </c>
      <c r="G1" s="1" t="s">
        <v>21</v>
      </c>
      <c r="H1" s="1" t="s">
        <v>22</v>
      </c>
      <c r="I1" s="1" t="s">
        <v>6</v>
      </c>
      <c r="J1" s="1" t="s">
        <v>7</v>
      </c>
    </row>
    <row r="2">
      <c r="A2" s="9">
        <v>1.0</v>
      </c>
      <c r="B2" s="11">
        <v>46201.0</v>
      </c>
      <c r="C2" s="16" t="s">
        <v>36</v>
      </c>
      <c r="D2" s="17">
        <v>23000.0</v>
      </c>
      <c r="E2" s="16"/>
      <c r="F2" s="16" t="s">
        <v>24</v>
      </c>
      <c r="G2" s="16" t="s">
        <v>41</v>
      </c>
      <c r="H2" s="16" t="s">
        <v>63</v>
      </c>
      <c r="I2" s="16" t="s">
        <v>54</v>
      </c>
      <c r="J2" s="16" t="s">
        <v>27</v>
      </c>
    </row>
    <row r="3">
      <c r="A3" s="9">
        <v>2.0</v>
      </c>
      <c r="B3" s="11">
        <v>46201.0</v>
      </c>
      <c r="C3" s="16" t="s">
        <v>36</v>
      </c>
      <c r="D3" s="17">
        <v>7000.47</v>
      </c>
      <c r="E3" s="16"/>
      <c r="F3" s="16" t="s">
        <v>24</v>
      </c>
      <c r="G3" s="16" t="s">
        <v>41</v>
      </c>
      <c r="H3" s="16" t="s">
        <v>81</v>
      </c>
      <c r="I3" s="16" t="s">
        <v>54</v>
      </c>
      <c r="J3" s="16" t="s">
        <v>27</v>
      </c>
    </row>
    <row r="4">
      <c r="A4" s="9">
        <v>3.0</v>
      </c>
      <c r="B4" s="11">
        <v>46201.0</v>
      </c>
      <c r="C4" s="16" t="s">
        <v>36</v>
      </c>
      <c r="D4" s="17">
        <v>1042.0</v>
      </c>
      <c r="E4" s="16"/>
      <c r="F4" s="16" t="s">
        <v>24</v>
      </c>
      <c r="G4" s="16" t="s">
        <v>41</v>
      </c>
      <c r="H4" s="16" t="s">
        <v>91</v>
      </c>
      <c r="I4" s="16" t="s">
        <v>26</v>
      </c>
      <c r="J4" s="16" t="s">
        <v>26</v>
      </c>
    </row>
    <row r="5">
      <c r="A5" s="9">
        <v>4.0</v>
      </c>
      <c r="B5" s="11">
        <v>46201.0</v>
      </c>
      <c r="C5" s="16" t="s">
        <v>28</v>
      </c>
      <c r="D5" s="17">
        <v>200.0</v>
      </c>
      <c r="E5" s="16">
        <v>10.0</v>
      </c>
      <c r="F5" s="16" t="s">
        <v>40</v>
      </c>
      <c r="G5" s="16" t="s">
        <v>61</v>
      </c>
      <c r="H5" s="16" t="s">
        <v>95</v>
      </c>
      <c r="I5" s="16" t="s">
        <v>26</v>
      </c>
      <c r="J5" s="16" t="s">
        <v>26</v>
      </c>
    </row>
    <row r="6">
      <c r="A6" s="9">
        <v>5.0</v>
      </c>
      <c r="B6" s="11">
        <v>46202.0</v>
      </c>
      <c r="C6" s="16" t="s">
        <v>28</v>
      </c>
      <c r="D6" s="17">
        <v>100.0</v>
      </c>
      <c r="E6" s="16">
        <v>0.0</v>
      </c>
      <c r="F6" s="16" t="s">
        <v>99</v>
      </c>
      <c r="G6" s="16" t="s">
        <v>100</v>
      </c>
      <c r="H6" s="16"/>
      <c r="I6" s="16" t="s">
        <v>26</v>
      </c>
      <c r="J6" s="16" t="s">
        <v>26</v>
      </c>
    </row>
    <row r="7">
      <c r="A7" s="9">
        <v>6.0</v>
      </c>
      <c r="B7" s="11">
        <v>46202.0</v>
      </c>
      <c r="C7" s="16" t="s">
        <v>28</v>
      </c>
      <c r="D7" s="17">
        <v>53.0</v>
      </c>
      <c r="E7" s="16">
        <v>0.0</v>
      </c>
      <c r="F7" s="16" t="s">
        <v>18</v>
      </c>
      <c r="G7" s="16" t="s">
        <v>23</v>
      </c>
      <c r="H7" s="16" t="s">
        <v>103</v>
      </c>
      <c r="I7" s="16" t="s">
        <v>26</v>
      </c>
      <c r="J7" s="16" t="s">
        <v>26</v>
      </c>
    </row>
    <row r="8">
      <c r="A8" s="9">
        <v>7.0</v>
      </c>
      <c r="B8" s="11">
        <v>46203.0</v>
      </c>
      <c r="C8" s="16" t="s">
        <v>28</v>
      </c>
      <c r="D8" s="17">
        <v>300.0</v>
      </c>
      <c r="E8" s="16">
        <v>0.0</v>
      </c>
      <c r="F8" s="16" t="s">
        <v>99</v>
      </c>
      <c r="G8" s="16" t="s">
        <v>106</v>
      </c>
      <c r="H8" s="16" t="s">
        <v>107</v>
      </c>
      <c r="I8" s="16" t="s">
        <v>26</v>
      </c>
      <c r="J8" s="16" t="s">
        <v>26</v>
      </c>
    </row>
    <row r="9">
      <c r="A9" s="9">
        <v>8.0</v>
      </c>
      <c r="B9" s="11">
        <v>46203.0</v>
      </c>
      <c r="C9" s="16" t="s">
        <v>28</v>
      </c>
      <c r="D9" s="17">
        <v>11599.0</v>
      </c>
      <c r="E9" s="16">
        <v>0.0</v>
      </c>
      <c r="F9" s="16" t="s">
        <v>109</v>
      </c>
      <c r="G9" s="16" t="s">
        <v>110</v>
      </c>
      <c r="H9" s="16" t="s">
        <v>111</v>
      </c>
      <c r="I9" s="16" t="s">
        <v>54</v>
      </c>
      <c r="J9" s="16" t="s">
        <v>27</v>
      </c>
    </row>
    <row r="10">
      <c r="A10" s="9">
        <v>9.0</v>
      </c>
      <c r="B10" s="11">
        <v>46203.0</v>
      </c>
      <c r="C10" s="16" t="s">
        <v>46</v>
      </c>
      <c r="D10" s="17">
        <v>10611.0</v>
      </c>
      <c r="E10" s="16"/>
      <c r="F10" s="16" t="s">
        <v>46</v>
      </c>
      <c r="G10" s="16"/>
      <c r="H10" s="16"/>
      <c r="I10" s="16" t="s">
        <v>54</v>
      </c>
      <c r="J10" s="16" t="s">
        <v>26</v>
      </c>
    </row>
    <row r="11">
      <c r="A11" s="9">
        <v>10.0</v>
      </c>
      <c r="B11" s="11">
        <v>46204.0</v>
      </c>
      <c r="C11" s="16" t="s">
        <v>28</v>
      </c>
      <c r="D11" s="17">
        <v>200.0</v>
      </c>
      <c r="E11" s="16">
        <v>0.0</v>
      </c>
      <c r="F11" s="16" t="s">
        <v>55</v>
      </c>
      <c r="G11" s="16" t="s">
        <v>114</v>
      </c>
      <c r="H11" s="16"/>
      <c r="I11" s="16" t="s">
        <v>26</v>
      </c>
      <c r="J11" s="16" t="s">
        <v>26</v>
      </c>
    </row>
    <row r="12">
      <c r="A12" s="9">
        <v>11.0</v>
      </c>
      <c r="B12" s="11">
        <v>46204.0</v>
      </c>
      <c r="C12" s="16" t="s">
        <v>28</v>
      </c>
      <c r="D12" s="17">
        <v>50.0</v>
      </c>
      <c r="E12" s="16">
        <v>0.0</v>
      </c>
      <c r="F12" s="16" t="s">
        <v>55</v>
      </c>
      <c r="G12" s="16" t="s">
        <v>117</v>
      </c>
      <c r="H12" s="16" t="s">
        <v>118</v>
      </c>
      <c r="I12" s="16" t="s">
        <v>26</v>
      </c>
      <c r="J12" s="16" t="s">
        <v>26</v>
      </c>
    </row>
    <row r="13">
      <c r="A13" s="9">
        <v>12.0</v>
      </c>
      <c r="B13" s="11">
        <v>46146.0</v>
      </c>
      <c r="C13" s="16" t="s">
        <v>28</v>
      </c>
      <c r="D13" s="17">
        <v>1000.0</v>
      </c>
      <c r="E13" s="16">
        <v>0.0</v>
      </c>
      <c r="F13" s="16" t="s">
        <v>99</v>
      </c>
      <c r="G13" s="16" t="s">
        <v>106</v>
      </c>
      <c r="H13" s="16" t="s">
        <v>120</v>
      </c>
      <c r="I13" s="16" t="s">
        <v>34</v>
      </c>
      <c r="J13" s="16" t="s">
        <v>35</v>
      </c>
    </row>
    <row r="14">
      <c r="A14" s="9">
        <v>13.0</v>
      </c>
      <c r="B14" s="11">
        <v>46146.0</v>
      </c>
      <c r="C14" s="16" t="s">
        <v>28</v>
      </c>
      <c r="D14" s="17">
        <v>20.0</v>
      </c>
      <c r="E14" s="16">
        <v>0.0</v>
      </c>
      <c r="F14" s="16" t="s">
        <v>99</v>
      </c>
      <c r="G14" s="16" t="s">
        <v>123</v>
      </c>
      <c r="H14" s="16" t="s">
        <v>124</v>
      </c>
      <c r="I14" s="16" t="s">
        <v>26</v>
      </c>
      <c r="J14" s="16" t="s">
        <v>26</v>
      </c>
    </row>
    <row r="15">
      <c r="A15" s="9">
        <v>14.0</v>
      </c>
      <c r="B15" s="11">
        <v>46146.0</v>
      </c>
      <c r="C15" s="16" t="s">
        <v>28</v>
      </c>
      <c r="D15" s="17">
        <v>20.0</v>
      </c>
      <c r="E15" s="16">
        <v>0.0</v>
      </c>
      <c r="F15" s="16" t="s">
        <v>99</v>
      </c>
      <c r="G15" s="16" t="s">
        <v>127</v>
      </c>
      <c r="H15" s="16"/>
      <c r="I15" s="16" t="s">
        <v>26</v>
      </c>
      <c r="J15" s="16" t="s">
        <v>26</v>
      </c>
    </row>
    <row r="16">
      <c r="A16" s="9">
        <v>15.0</v>
      </c>
      <c r="B16" s="11">
        <v>46146.0</v>
      </c>
      <c r="C16" s="16" t="s">
        <v>28</v>
      </c>
      <c r="D16" s="17">
        <v>1000.0</v>
      </c>
      <c r="E16" s="16">
        <v>0.0</v>
      </c>
      <c r="F16" s="16" t="s">
        <v>117</v>
      </c>
      <c r="G16" s="16" t="s">
        <v>131</v>
      </c>
      <c r="H16" s="16" t="s">
        <v>132</v>
      </c>
      <c r="I16" s="16" t="s">
        <v>34</v>
      </c>
      <c r="J16" s="16" t="s">
        <v>35</v>
      </c>
    </row>
    <row r="17">
      <c r="A17" s="9">
        <v>16.0</v>
      </c>
      <c r="B17" s="11">
        <v>46146.0</v>
      </c>
      <c r="C17" s="16" t="s">
        <v>28</v>
      </c>
      <c r="D17" s="17">
        <v>500.0</v>
      </c>
      <c r="E17" s="16">
        <v>0.0</v>
      </c>
      <c r="F17" s="16" t="s">
        <v>55</v>
      </c>
      <c r="G17" s="16" t="s">
        <v>134</v>
      </c>
      <c r="H17" s="16"/>
      <c r="I17" s="16" t="s">
        <v>34</v>
      </c>
      <c r="J17" s="16" t="s">
        <v>35</v>
      </c>
    </row>
    <row r="18">
      <c r="A18" s="9">
        <v>17.0</v>
      </c>
      <c r="B18" s="11">
        <v>46146.0</v>
      </c>
      <c r="C18" s="16" t="s">
        <v>28</v>
      </c>
      <c r="D18" s="17">
        <v>100.0</v>
      </c>
      <c r="E18" s="16">
        <v>0.0</v>
      </c>
      <c r="F18" s="16" t="s">
        <v>99</v>
      </c>
      <c r="G18" s="16" t="s">
        <v>137</v>
      </c>
      <c r="H18" s="16"/>
      <c r="I18" s="16" t="s">
        <v>26</v>
      </c>
      <c r="J18" s="16" t="s">
        <v>26</v>
      </c>
    </row>
    <row r="19">
      <c r="A19" s="9">
        <v>18.0</v>
      </c>
      <c r="B19" s="11">
        <v>46146.0</v>
      </c>
      <c r="C19" s="16" t="s">
        <v>28</v>
      </c>
      <c r="D19" s="17">
        <v>300.0</v>
      </c>
      <c r="E19" s="16">
        <v>0.0</v>
      </c>
      <c r="F19" s="16" t="s">
        <v>40</v>
      </c>
      <c r="G19" s="16" t="s">
        <v>85</v>
      </c>
      <c r="H19" s="16"/>
      <c r="I19" s="16" t="s">
        <v>26</v>
      </c>
      <c r="J19" s="16" t="s">
        <v>26</v>
      </c>
    </row>
    <row r="20">
      <c r="A20" s="9">
        <v>19.0</v>
      </c>
      <c r="B20" s="11">
        <v>46146.0</v>
      </c>
      <c r="C20" s="16" t="s">
        <v>28</v>
      </c>
      <c r="D20" s="17">
        <v>800.0</v>
      </c>
      <c r="E20" s="16">
        <v>60.0</v>
      </c>
      <c r="F20" s="16" t="s">
        <v>136</v>
      </c>
      <c r="G20" s="16" t="s">
        <v>110</v>
      </c>
      <c r="H20" s="16" t="s">
        <v>140</v>
      </c>
      <c r="I20" s="16" t="s">
        <v>54</v>
      </c>
      <c r="J20" s="16" t="s">
        <v>27</v>
      </c>
    </row>
    <row r="21">
      <c r="A21" s="9">
        <v>20.0</v>
      </c>
      <c r="B21" s="11">
        <v>46146.0</v>
      </c>
      <c r="C21" s="16" t="s">
        <v>28</v>
      </c>
      <c r="D21" s="17">
        <v>490.0</v>
      </c>
      <c r="E21" s="16">
        <v>0.0</v>
      </c>
      <c r="F21" s="16" t="s">
        <v>136</v>
      </c>
      <c r="G21" s="16" t="s">
        <v>110</v>
      </c>
      <c r="H21" s="16" t="s">
        <v>141</v>
      </c>
      <c r="I21" s="16" t="s">
        <v>54</v>
      </c>
      <c r="J21" s="16" t="s">
        <v>27</v>
      </c>
    </row>
    <row r="22">
      <c r="A22" s="9">
        <v>21.0</v>
      </c>
      <c r="B22" s="11">
        <v>46146.0</v>
      </c>
      <c r="C22" s="16" t="s">
        <v>28</v>
      </c>
      <c r="D22" s="17">
        <v>656.0</v>
      </c>
      <c r="E22" s="16">
        <v>0.0</v>
      </c>
      <c r="F22" s="16" t="s">
        <v>136</v>
      </c>
      <c r="G22" s="16" t="s">
        <v>138</v>
      </c>
      <c r="H22" s="16" t="s">
        <v>145</v>
      </c>
      <c r="I22" s="16" t="s">
        <v>34</v>
      </c>
      <c r="J22" s="16" t="s">
        <v>35</v>
      </c>
    </row>
    <row r="23">
      <c r="A23" s="9">
        <v>22.0</v>
      </c>
      <c r="B23" s="11">
        <v>46146.0</v>
      </c>
      <c r="C23" s="16" t="s">
        <v>28</v>
      </c>
      <c r="D23" s="17">
        <v>610.0</v>
      </c>
      <c r="E23" s="16">
        <v>0.0</v>
      </c>
      <c r="F23" s="16" t="s">
        <v>136</v>
      </c>
      <c r="G23" s="16" t="s">
        <v>139</v>
      </c>
      <c r="H23" s="16" t="s">
        <v>145</v>
      </c>
      <c r="I23" s="16" t="s">
        <v>34</v>
      </c>
      <c r="J23" s="16" t="s">
        <v>35</v>
      </c>
    </row>
    <row r="24">
      <c r="A24" s="9">
        <v>23.0</v>
      </c>
      <c r="B24" s="11">
        <v>46146.0</v>
      </c>
      <c r="C24" s="16" t="s">
        <v>28</v>
      </c>
      <c r="D24" s="17">
        <v>500.0</v>
      </c>
      <c r="E24" s="16">
        <v>0.0</v>
      </c>
      <c r="F24" s="16" t="s">
        <v>136</v>
      </c>
      <c r="G24" s="16" t="s">
        <v>110</v>
      </c>
      <c r="H24" s="16" t="s">
        <v>149</v>
      </c>
      <c r="I24" s="16" t="s">
        <v>34</v>
      </c>
      <c r="J24" s="16" t="s">
        <v>35</v>
      </c>
    </row>
    <row r="25">
      <c r="A25" s="9">
        <v>24.0</v>
      </c>
      <c r="B25" s="11">
        <v>46146.0</v>
      </c>
      <c r="C25" s="16" t="s">
        <v>28</v>
      </c>
      <c r="D25" s="17">
        <v>6000.0</v>
      </c>
      <c r="E25" s="16">
        <v>0.0</v>
      </c>
      <c r="F25" s="16" t="s">
        <v>88</v>
      </c>
      <c r="G25" s="16" t="s">
        <v>89</v>
      </c>
      <c r="H25" s="16" t="s">
        <v>151</v>
      </c>
      <c r="I25" s="16" t="s">
        <v>26</v>
      </c>
      <c r="J25" s="16" t="s">
        <v>26</v>
      </c>
    </row>
    <row r="26">
      <c r="A26" s="9">
        <v>25.0</v>
      </c>
      <c r="B26" s="11">
        <v>46146.0</v>
      </c>
      <c r="C26" s="16" t="s">
        <v>28</v>
      </c>
      <c r="D26" s="17">
        <v>75.0</v>
      </c>
      <c r="E26" s="16">
        <v>0.0</v>
      </c>
      <c r="F26" s="16" t="s">
        <v>99</v>
      </c>
      <c r="G26" s="16" t="s">
        <v>127</v>
      </c>
      <c r="H26" s="16" t="s">
        <v>153</v>
      </c>
      <c r="I26" s="16" t="s">
        <v>26</v>
      </c>
      <c r="J26" s="16" t="s">
        <v>26</v>
      </c>
    </row>
    <row r="27">
      <c r="A27" s="9">
        <v>26.0</v>
      </c>
      <c r="B27" s="11">
        <v>46146.0</v>
      </c>
      <c r="C27" s="16" t="s">
        <v>28</v>
      </c>
      <c r="D27" s="17">
        <v>75.0</v>
      </c>
      <c r="E27" s="16">
        <v>0.0</v>
      </c>
      <c r="F27" s="16" t="s">
        <v>99</v>
      </c>
      <c r="G27" s="16" t="s">
        <v>123</v>
      </c>
      <c r="H27" s="16" t="s">
        <v>153</v>
      </c>
      <c r="I27" s="16" t="s">
        <v>26</v>
      </c>
      <c r="J27" s="16" t="s">
        <v>26</v>
      </c>
    </row>
    <row r="28">
      <c r="A28" s="9">
        <v>27.0</v>
      </c>
      <c r="B28" s="11">
        <v>46146.0</v>
      </c>
      <c r="C28" s="16" t="s">
        <v>28</v>
      </c>
      <c r="D28" s="17">
        <v>50.0</v>
      </c>
      <c r="E28" s="16">
        <v>0.0</v>
      </c>
      <c r="F28" s="16" t="s">
        <v>99</v>
      </c>
      <c r="G28" s="16" t="s">
        <v>100</v>
      </c>
      <c r="H28" s="16" t="s">
        <v>160</v>
      </c>
      <c r="I28" s="16" t="s">
        <v>26</v>
      </c>
      <c r="J28" s="16" t="s">
        <v>26</v>
      </c>
    </row>
    <row r="29">
      <c r="A29" s="9">
        <v>28.0</v>
      </c>
      <c r="B29" s="11">
        <v>46146.0</v>
      </c>
      <c r="C29" s="16" t="s">
        <v>36</v>
      </c>
      <c r="D29" s="17">
        <v>18847.0</v>
      </c>
      <c r="E29" s="16"/>
      <c r="F29" s="16" t="s">
        <v>24</v>
      </c>
      <c r="G29" s="16" t="s">
        <v>33</v>
      </c>
      <c r="H29" s="16" t="s">
        <v>163</v>
      </c>
      <c r="I29" s="16" t="s">
        <v>54</v>
      </c>
      <c r="J29" s="16" t="s">
        <v>27</v>
      </c>
    </row>
    <row r="30">
      <c r="A30" s="9">
        <v>29.0</v>
      </c>
      <c r="B30" s="11">
        <v>46146.0</v>
      </c>
      <c r="C30" s="16" t="s">
        <v>28</v>
      </c>
      <c r="D30" s="17">
        <v>55.0</v>
      </c>
      <c r="E30" s="16">
        <v>0.0</v>
      </c>
      <c r="F30" s="16" t="s">
        <v>18</v>
      </c>
      <c r="G30" s="16" t="s">
        <v>42</v>
      </c>
      <c r="H30" s="16" t="s">
        <v>165</v>
      </c>
      <c r="I30" s="16" t="s">
        <v>26</v>
      </c>
      <c r="J30" s="16" t="s">
        <v>26</v>
      </c>
    </row>
    <row r="31">
      <c r="A31" s="9">
        <v>30.0</v>
      </c>
      <c r="B31" s="11">
        <v>46146.0</v>
      </c>
      <c r="C31" s="16" t="s">
        <v>28</v>
      </c>
      <c r="D31" s="17">
        <v>100.0</v>
      </c>
      <c r="E31" s="16">
        <v>0.0</v>
      </c>
      <c r="F31" s="16" t="s">
        <v>117</v>
      </c>
      <c r="G31" s="16" t="s">
        <v>131</v>
      </c>
      <c r="H31" s="16" t="s">
        <v>166</v>
      </c>
      <c r="I31" s="16" t="s">
        <v>26</v>
      </c>
      <c r="J31" s="16" t="s">
        <v>26</v>
      </c>
    </row>
    <row r="32">
      <c r="A32" s="9">
        <v>31.0</v>
      </c>
      <c r="B32" s="11">
        <v>46146.0</v>
      </c>
      <c r="C32" s="16" t="s">
        <v>28</v>
      </c>
      <c r="D32" s="17">
        <v>50.0</v>
      </c>
      <c r="E32" s="16">
        <v>0.0</v>
      </c>
      <c r="F32" s="16" t="s">
        <v>117</v>
      </c>
      <c r="G32" s="16" t="s">
        <v>155</v>
      </c>
      <c r="H32" s="16" t="s">
        <v>167</v>
      </c>
      <c r="I32" s="16" t="s">
        <v>26</v>
      </c>
      <c r="J32" s="16" t="s">
        <v>26</v>
      </c>
    </row>
    <row r="33">
      <c r="A33" s="9">
        <v>32.0</v>
      </c>
      <c r="B33" s="11">
        <v>46146.0</v>
      </c>
      <c r="C33" s="16" t="s">
        <v>28</v>
      </c>
      <c r="D33" s="17">
        <v>500.0</v>
      </c>
      <c r="E33" s="16">
        <v>20.0</v>
      </c>
      <c r="F33" s="16" t="s">
        <v>40</v>
      </c>
      <c r="G33" s="16" t="s">
        <v>61</v>
      </c>
      <c r="H33" s="16"/>
      <c r="I33" s="16" t="s">
        <v>34</v>
      </c>
      <c r="J33" s="16" t="s">
        <v>35</v>
      </c>
    </row>
    <row r="34">
      <c r="A34" s="9">
        <v>33.0</v>
      </c>
      <c r="B34" s="11">
        <v>46146.0</v>
      </c>
      <c r="C34" s="16" t="s">
        <v>28</v>
      </c>
      <c r="D34" s="17">
        <v>65.0</v>
      </c>
      <c r="E34" s="16">
        <v>0.0</v>
      </c>
      <c r="F34" s="16" t="s">
        <v>59</v>
      </c>
      <c r="G34" s="16" t="s">
        <v>104</v>
      </c>
      <c r="H34" s="16" t="s">
        <v>168</v>
      </c>
      <c r="I34" s="16" t="s">
        <v>34</v>
      </c>
      <c r="J34" s="16" t="s">
        <v>26</v>
      </c>
    </row>
    <row r="35">
      <c r="A35" s="9">
        <v>34.0</v>
      </c>
      <c r="B35" s="11">
        <v>46146.0</v>
      </c>
      <c r="C35" s="16" t="s">
        <v>28</v>
      </c>
      <c r="D35" s="17">
        <v>75.0</v>
      </c>
      <c r="E35" s="16">
        <v>0.0</v>
      </c>
      <c r="F35" s="16" t="s">
        <v>136</v>
      </c>
      <c r="G35" s="16" t="s">
        <v>110</v>
      </c>
      <c r="H35" s="16" t="s">
        <v>168</v>
      </c>
      <c r="I35" s="16" t="s">
        <v>34</v>
      </c>
      <c r="J35" s="16" t="s">
        <v>35</v>
      </c>
    </row>
    <row r="36">
      <c r="A36" s="9">
        <v>35.0</v>
      </c>
      <c r="B36" s="11">
        <v>46146.0</v>
      </c>
      <c r="C36" s="16" t="s">
        <v>28</v>
      </c>
      <c r="D36" s="17">
        <v>500.0</v>
      </c>
      <c r="E36" s="16">
        <v>0.0</v>
      </c>
      <c r="F36" s="16" t="s">
        <v>88</v>
      </c>
      <c r="G36" s="16" t="s">
        <v>89</v>
      </c>
      <c r="H36" s="16" t="s">
        <v>169</v>
      </c>
      <c r="I36" s="16" t="s">
        <v>34</v>
      </c>
      <c r="J36" s="16" t="s">
        <v>26</v>
      </c>
    </row>
    <row r="37">
      <c r="A37" s="9">
        <v>36.0</v>
      </c>
      <c r="B37" s="11">
        <v>46146.0</v>
      </c>
      <c r="C37" s="16" t="s">
        <v>28</v>
      </c>
      <c r="D37" s="17">
        <v>460.0</v>
      </c>
      <c r="E37" s="16">
        <v>0.0</v>
      </c>
      <c r="F37" s="16" t="s">
        <v>117</v>
      </c>
      <c r="G37" s="16" t="s">
        <v>154</v>
      </c>
      <c r="H37" s="16" t="s">
        <v>171</v>
      </c>
      <c r="I37" s="16" t="s">
        <v>34</v>
      </c>
      <c r="J37" s="16" t="s">
        <v>35</v>
      </c>
    </row>
    <row r="38">
      <c r="A38" s="9">
        <v>37.0</v>
      </c>
      <c r="B38" s="11">
        <v>46146.0</v>
      </c>
      <c r="C38" s="16" t="s">
        <v>28</v>
      </c>
      <c r="D38" s="17">
        <v>20000.0</v>
      </c>
      <c r="E38" s="16">
        <v>0.0</v>
      </c>
      <c r="F38" s="16" t="s">
        <v>88</v>
      </c>
      <c r="G38" s="16" t="s">
        <v>89</v>
      </c>
      <c r="H38" s="16" t="s">
        <v>173</v>
      </c>
      <c r="I38" s="16" t="s">
        <v>54</v>
      </c>
      <c r="J38" s="16" t="s">
        <v>27</v>
      </c>
    </row>
    <row r="39">
      <c r="A39" s="9">
        <v>38.0</v>
      </c>
      <c r="B39" s="11">
        <v>46146.0</v>
      </c>
      <c r="C39" s="16" t="s">
        <v>28</v>
      </c>
      <c r="D39" s="17">
        <v>1000.0</v>
      </c>
      <c r="E39" s="16">
        <v>0.0</v>
      </c>
      <c r="F39" s="16" t="s">
        <v>88</v>
      </c>
      <c r="G39" s="16" t="s">
        <v>89</v>
      </c>
      <c r="H39" s="16" t="s">
        <v>169</v>
      </c>
      <c r="I39" s="16" t="s">
        <v>34</v>
      </c>
      <c r="J39" s="16" t="s">
        <v>35</v>
      </c>
    </row>
    <row r="40">
      <c r="A40" s="9">
        <v>39.0</v>
      </c>
      <c r="B40" s="11">
        <v>46146.0</v>
      </c>
      <c r="C40" s="16" t="s">
        <v>28</v>
      </c>
      <c r="D40" s="17">
        <v>1000.0</v>
      </c>
      <c r="E40" s="16">
        <v>0.0</v>
      </c>
      <c r="F40" s="16" t="s">
        <v>99</v>
      </c>
      <c r="G40" s="16" t="s">
        <v>106</v>
      </c>
      <c r="H40" s="16" t="s">
        <v>174</v>
      </c>
      <c r="I40" s="16" t="s">
        <v>54</v>
      </c>
      <c r="J40" s="16" t="s">
        <v>27</v>
      </c>
    </row>
    <row r="41">
      <c r="A41" s="9">
        <v>40.0</v>
      </c>
      <c r="B41" s="11">
        <v>46146.0</v>
      </c>
      <c r="C41" s="16" t="s">
        <v>28</v>
      </c>
      <c r="D41" s="17">
        <v>350.0</v>
      </c>
      <c r="E41" s="16">
        <v>0.0</v>
      </c>
      <c r="F41" s="16" t="s">
        <v>136</v>
      </c>
      <c r="G41" s="16" t="s">
        <v>110</v>
      </c>
      <c r="H41" s="16" t="s">
        <v>175</v>
      </c>
      <c r="I41" s="16" t="s">
        <v>54</v>
      </c>
      <c r="J41" s="16" t="s">
        <v>27</v>
      </c>
    </row>
  </sheetData>
  <autoFilter ref="$A$1:$J$41"/>
  <dataValidations>
    <dataValidation type="list" allowBlank="1" sqref="J2:J41">
      <formula1>"Ecobank,GCB,MoMo Wallet,Cash,Other"</formula1>
    </dataValidation>
    <dataValidation type="decimal" operator="greaterThan" allowBlank="1" sqref="D2:D41">
      <formula1>0.0</formula1>
    </dataValidation>
    <dataValidation type="list" allowBlank="1" sqref="C2:C41">
      <formula1>"Expense,Income,Transfer"</formula1>
    </dataValidation>
    <dataValidation type="list" allowBlank="1" sqref="I2:I41">
      <formula1>"Cash,Mobile Money,Card,Bank Transfer,Other"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3" width="18.0"/>
    <col customWidth="1" min="4" max="4" width="20.43"/>
    <col customWidth="1" min="5" max="6" width="18.0"/>
    <col customWidth="1" min="7" max="26" width="8.71"/>
  </cols>
  <sheetData>
    <row r="1">
      <c r="A1" s="28" t="s">
        <v>170</v>
      </c>
    </row>
    <row r="2">
      <c r="A2" s="29" t="s">
        <v>172</v>
      </c>
      <c r="B2" s="18" t="s">
        <v>13</v>
      </c>
      <c r="D2" s="30" t="s">
        <v>176</v>
      </c>
    </row>
    <row r="3" ht="45.75" customHeight="1">
      <c r="A3" s="29" t="s">
        <v>13</v>
      </c>
      <c r="B3" s="31">
        <v>2026.0</v>
      </c>
      <c r="D3" s="32" t="s">
        <v>177</v>
      </c>
    </row>
    <row r="4">
      <c r="A4" s="29" t="s">
        <v>178</v>
      </c>
      <c r="B4" s="18" t="s">
        <v>76</v>
      </c>
    </row>
    <row r="6">
      <c r="A6" s="29" t="s">
        <v>179</v>
      </c>
      <c r="B6" s="37">
        <f>IF($B$2="Week",$B$4,IF($B$2="Month",DATE($B$3,MATCH($B$4,MonthOptions,0),1),IF($B$2="Quarter",DATE($B$3,(VALUE(RIGHT($B$4,1))-1)*3+1,1),DATE($B$3,1,1))))</f>
        <v>46023</v>
      </c>
    </row>
    <row r="7">
      <c r="A7" s="29" t="s">
        <v>186</v>
      </c>
      <c r="B7" s="37">
        <f>IF($B$2="Week",$B$6+6,IF($B$2="Month",EOMONTH($B$6,0),IF($B$2="Quarter",EOMONTH($B$6,2),DATE($B$3,12,31))))</f>
        <v>46387</v>
      </c>
    </row>
    <row r="10">
      <c r="A10" s="39" t="s">
        <v>187</v>
      </c>
      <c r="B10" s="40">
        <f>SUMIFS(Transactions!$D:$D,Transactions!$B:$B,"&gt;="&amp;$B$6,Transactions!$B:$B,"&lt;="&amp;$B$7,Transactions!$C:$C,"Expense")
+SUMIFS(Transactions!$E:$E,Transactions!$B:$B,"&gt;="&amp;$B$6,Transactions!$B:$B,"&lt;="&amp;$B$7,Transactions!$C:$C,"Expense")</f>
        <v>48943</v>
      </c>
    </row>
    <row r="11">
      <c r="A11" s="39" t="s">
        <v>188</v>
      </c>
      <c r="B11" s="40">
        <f>SUMIFS(Transactions!$D:$D,Transactions!$B:$B,"&gt;="&amp;$B$6,Transactions!$B:$B,"&lt;="&amp;$B$7,Transactions!$C:$C,"Income")</f>
        <v>49889.47</v>
      </c>
    </row>
    <row r="12">
      <c r="A12" s="39" t="s">
        <v>189</v>
      </c>
      <c r="B12" s="40">
        <f>SUMIFS(Transactions!$D:$D,Transactions!$B:$B,"&gt;="&amp;$B$6,Transactions!$B:$B,"&lt;="&amp;$B$7,Transactions!$C:$C,"Transfer")</f>
        <v>10611</v>
      </c>
    </row>
    <row r="13">
      <c r="A13" s="39" t="s">
        <v>190</v>
      </c>
      <c r="B13" s="40">
        <f>B11-B10</f>
        <v>946.47</v>
      </c>
    </row>
    <row r="16">
      <c r="A16" s="36" t="s">
        <v>1</v>
      </c>
      <c r="B16" s="36" t="s">
        <v>192</v>
      </c>
      <c r="D16" s="36" t="s">
        <v>3</v>
      </c>
      <c r="E16" s="36" t="s">
        <v>192</v>
      </c>
    </row>
    <row r="17">
      <c r="A17" s="42" t="s">
        <v>18</v>
      </c>
      <c r="B17" s="41">
        <f>SUMIFS(Transactions!$D:$D,Transactions!$B:$B,"&gt;="&amp;$B$6,Transactions!$B:$B,"&lt;="&amp;$B$7,Transactions!$C:$C,"Expense",Transactions!$F:$F,A17)
+SUMIFS(Transactions!$E:$E,Transactions!$B:$B,"&gt;="&amp;$B$6,Transactions!$B:$B,"&lt;="&amp;$B$7,Transactions!$C:$C,"Expense",Transactions!$F:$F,A17)</f>
        <v>108</v>
      </c>
      <c r="D17" s="42" t="s">
        <v>23</v>
      </c>
      <c r="E17" s="41">
        <f>SUMIFS(Transactions!$D:$D,Transactions!$B:$B,"&gt;="&amp;$B$6,Transactions!$B:$B,"&lt;="&amp;$B$7,Transactions!$C:$C,"Expense",Transactions!$G:$G,D17)
+SUMIFS(Transactions!$E:$E,Transactions!$B:$B,"&gt;="&amp;$B$6,Transactions!$B:$B,"&lt;="&amp;$B$7,Transactions!$C:$C,"Expense",Transactions!$G:$G,D17)</f>
        <v>53</v>
      </c>
    </row>
    <row r="18">
      <c r="A18" s="42" t="s">
        <v>40</v>
      </c>
      <c r="B18" s="41">
        <f>SUMIFS(Transactions!$D:$D,Transactions!$B:$B,"&gt;="&amp;$B$6,Transactions!$B:$B,"&lt;="&amp;$B$7,Transactions!$C:$C,"Expense",Transactions!$F:$F,A18)
+SUMIFS(Transactions!$E:$E,Transactions!$B:$B,"&gt;="&amp;$B$6,Transactions!$B:$B,"&lt;="&amp;$B$7,Transactions!$C:$C,"Expense",Transactions!$F:$F,A18)</f>
        <v>1030</v>
      </c>
      <c r="D18" s="42" t="s">
        <v>32</v>
      </c>
      <c r="E18" s="41">
        <f>SUMIFS(Transactions!$D:$D,Transactions!$B:$B,"&gt;="&amp;$B$6,Transactions!$B:$B,"&lt;="&amp;$B$7,Transactions!$C:$C,"Expense",Transactions!$G:$G,D18)
+SUMIFS(Transactions!$E:$E,Transactions!$B:$B,"&gt;="&amp;$B$6,Transactions!$B:$B,"&lt;="&amp;$B$7,Transactions!$C:$C,"Expense",Transactions!$G:$G,D18)</f>
        <v>0</v>
      </c>
    </row>
    <row r="19">
      <c r="A19" s="42" t="s">
        <v>51</v>
      </c>
      <c r="B19" s="41">
        <f>SUMIFS(Transactions!$D:$D,Transactions!$B:$B,"&gt;="&amp;$B$6,Transactions!$B:$B,"&lt;="&amp;$B$7,Transactions!$C:$C,"Expense",Transactions!$F:$F,A19)
+SUMIFS(Transactions!$E:$E,Transactions!$B:$B,"&gt;="&amp;$B$6,Transactions!$B:$B,"&lt;="&amp;$B$7,Transactions!$C:$C,"Expense",Transactions!$F:$F,A19)</f>
        <v>0</v>
      </c>
      <c r="D19" s="42" t="s">
        <v>42</v>
      </c>
      <c r="E19" s="41">
        <f>SUMIFS(Transactions!$D:$D,Transactions!$B:$B,"&gt;="&amp;$B$6,Transactions!$B:$B,"&lt;="&amp;$B$7,Transactions!$C:$C,"Expense",Transactions!$G:$G,D19)
+SUMIFS(Transactions!$E:$E,Transactions!$B:$B,"&gt;="&amp;$B$6,Transactions!$B:$B,"&lt;="&amp;$B$7,Transactions!$C:$C,"Expense",Transactions!$G:$G,D19)</f>
        <v>55</v>
      </c>
    </row>
    <row r="20">
      <c r="A20" s="42" t="s">
        <v>59</v>
      </c>
      <c r="B20" s="41">
        <f>SUMIFS(Transactions!$D:$D,Transactions!$B:$B,"&gt;="&amp;$B$6,Transactions!$B:$B,"&lt;="&amp;$B$7,Transactions!$C:$C,"Expense",Transactions!$F:$F,A20)
+SUMIFS(Transactions!$E:$E,Transactions!$B:$B,"&gt;="&amp;$B$6,Transactions!$B:$B,"&lt;="&amp;$B$7,Transactions!$C:$C,"Expense",Transactions!$F:$F,A20)</f>
        <v>65</v>
      </c>
      <c r="D20" s="42" t="s">
        <v>52</v>
      </c>
      <c r="E20" s="41">
        <f>SUMIFS(Transactions!$D:$D,Transactions!$B:$B,"&gt;="&amp;$B$6,Transactions!$B:$B,"&lt;="&amp;$B$7,Transactions!$C:$C,"Expense",Transactions!$G:$G,D20)
+SUMIFS(Transactions!$E:$E,Transactions!$B:$B,"&gt;="&amp;$B$6,Transactions!$B:$B,"&lt;="&amp;$B$7,Transactions!$C:$C,"Expense",Transactions!$G:$G,D20)</f>
        <v>0</v>
      </c>
    </row>
    <row r="21" ht="15.75" customHeight="1">
      <c r="A21" s="42" t="s">
        <v>67</v>
      </c>
      <c r="B21" s="41">
        <f>SUMIFS(Transactions!$D:$D,Transactions!$B:$B,"&gt;="&amp;$B$6,Transactions!$B:$B,"&lt;="&amp;$B$7,Transactions!$C:$C,"Expense",Transactions!$F:$F,A21)
+SUMIFS(Transactions!$E:$E,Transactions!$B:$B,"&gt;="&amp;$B$6,Transactions!$B:$B,"&lt;="&amp;$B$7,Transactions!$C:$C,"Expense",Transactions!$F:$F,A21)</f>
        <v>0</v>
      </c>
      <c r="D21" s="42" t="s">
        <v>61</v>
      </c>
      <c r="E21" s="41">
        <f>SUMIFS(Transactions!$D:$D,Transactions!$B:$B,"&gt;="&amp;$B$6,Transactions!$B:$B,"&lt;="&amp;$B$7,Transactions!$C:$C,"Expense",Transactions!$G:$G,D21)
+SUMIFS(Transactions!$E:$E,Transactions!$B:$B,"&gt;="&amp;$B$6,Transactions!$B:$B,"&lt;="&amp;$B$7,Transactions!$C:$C,"Expense",Transactions!$G:$G,D21)</f>
        <v>730</v>
      </c>
    </row>
    <row r="22" ht="15.75" customHeight="1">
      <c r="A22" s="42" t="s">
        <v>72</v>
      </c>
      <c r="B22" s="41">
        <f>SUMIFS(Transactions!$D:$D,Transactions!$B:$B,"&gt;="&amp;$B$6,Transactions!$B:$B,"&lt;="&amp;$B$7,Transactions!$C:$C,"Expense",Transactions!$F:$F,A22)
+SUMIFS(Transactions!$E:$E,Transactions!$B:$B,"&gt;="&amp;$B$6,Transactions!$B:$B,"&lt;="&amp;$B$7,Transactions!$C:$C,"Expense",Transactions!$F:$F,A22)</f>
        <v>0</v>
      </c>
      <c r="D22" s="42" t="s">
        <v>68</v>
      </c>
      <c r="E22" s="41">
        <f>SUMIFS(Transactions!$D:$D,Transactions!$B:$B,"&gt;="&amp;$B$6,Transactions!$B:$B,"&lt;="&amp;$B$7,Transactions!$C:$C,"Expense",Transactions!$G:$G,D22)
+SUMIFS(Transactions!$E:$E,Transactions!$B:$B,"&gt;="&amp;$B$6,Transactions!$B:$B,"&lt;="&amp;$B$7,Transactions!$C:$C,"Expense",Transactions!$G:$G,D22)</f>
        <v>0</v>
      </c>
    </row>
    <row r="23" ht="15.75" customHeight="1">
      <c r="A23" s="42" t="s">
        <v>77</v>
      </c>
      <c r="B23" s="41">
        <f>SUMIFS(Transactions!$D:$D,Transactions!$B:$B,"&gt;="&amp;$B$6,Transactions!$B:$B,"&lt;="&amp;$B$7,Transactions!$C:$C,"Expense",Transactions!$F:$F,A23)
+SUMIFS(Transactions!$E:$E,Transactions!$B:$B,"&gt;="&amp;$B$6,Transactions!$B:$B,"&lt;="&amp;$B$7,Transactions!$C:$C,"Expense",Transactions!$F:$F,A23)</f>
        <v>0</v>
      </c>
      <c r="D23" s="42" t="s">
        <v>73</v>
      </c>
      <c r="E23" s="41">
        <f>SUMIFS(Transactions!$D:$D,Transactions!$B:$B,"&gt;="&amp;$B$6,Transactions!$B:$B,"&lt;="&amp;$B$7,Transactions!$C:$C,"Expense",Transactions!$G:$G,D23)
+SUMIFS(Transactions!$E:$E,Transactions!$B:$B,"&gt;="&amp;$B$6,Transactions!$B:$B,"&lt;="&amp;$B$7,Transactions!$C:$C,"Expense",Transactions!$G:$G,D23)</f>
        <v>0</v>
      </c>
    </row>
    <row r="24" ht="15.75" customHeight="1">
      <c r="A24" s="10" t="s">
        <v>99</v>
      </c>
      <c r="B24" s="41">
        <f>SUMIFS(Transactions!$D:$D,Transactions!$B:$B,"&gt;="&amp;$B$6,Transactions!$B:$B,"&lt;="&amp;$B$7,Transactions!$C:$C,"Expense",Transactions!$F:$F,A24)
+SUMIFS(Transactions!$E:$E,Transactions!$B:$B,"&gt;="&amp;$B$6,Transactions!$B:$B,"&lt;="&amp;$B$7,Transactions!$C:$C,"Expense",Transactions!$F:$F,A24)</f>
        <v>2740</v>
      </c>
      <c r="D24" s="42" t="s">
        <v>78</v>
      </c>
      <c r="E24" s="41">
        <f>SUMIFS(Transactions!$D:$D,Transactions!$B:$B,"&gt;="&amp;$B$6,Transactions!$B:$B,"&lt;="&amp;$B$7,Transactions!$C:$C,"Expense",Transactions!$G:$G,D24)
+SUMIFS(Transactions!$E:$E,Transactions!$B:$B,"&gt;="&amp;$B$6,Transactions!$B:$B,"&lt;="&amp;$B$7,Transactions!$C:$C,"Expense",Transactions!$G:$G,D24)</f>
        <v>0</v>
      </c>
    </row>
    <row r="25" ht="15.75" customHeight="1">
      <c r="A25" s="10" t="s">
        <v>117</v>
      </c>
      <c r="B25" s="41">
        <f>SUMIFS(Transactions!$D:$D,Transactions!$B:$B,"&gt;="&amp;$B$6,Transactions!$B:$B,"&lt;="&amp;$B$7,Transactions!$C:$C,"Expense",Transactions!$F:$F,A25)
+SUMIFS(Transactions!$E:$E,Transactions!$B:$B,"&gt;="&amp;$B$6,Transactions!$B:$B,"&lt;="&amp;$B$7,Transactions!$C:$C,"Expense",Transactions!$F:$F,A25)</f>
        <v>1610</v>
      </c>
      <c r="D25" s="42" t="s">
        <v>83</v>
      </c>
      <c r="E25" s="41">
        <f>SUMIFS(Transactions!$D:$D,Transactions!$B:$B,"&gt;="&amp;$B$6,Transactions!$B:$B,"&lt;="&amp;$B$7,Transactions!$C:$C,"Expense",Transactions!$G:$G,D25)
+SUMIFS(Transactions!$E:$E,Transactions!$B:$B,"&gt;="&amp;$B$6,Transactions!$B:$B,"&lt;="&amp;$B$7,Transactions!$C:$C,"Expense",Transactions!$G:$G,D25)</f>
        <v>0</v>
      </c>
    </row>
    <row r="26" ht="15.75" customHeight="1">
      <c r="A26" s="10" t="s">
        <v>109</v>
      </c>
      <c r="B26" s="41">
        <f>SUMIFS(Transactions!$D:$D,Transactions!$B:$B,"&gt;="&amp;$B$6,Transactions!$B:$B,"&lt;="&amp;$B$7,Transactions!$C:$C,"Expense",Transactions!$F:$F,A26)
+SUMIFS(Transactions!$E:$E,Transactions!$B:$B,"&gt;="&amp;$B$6,Transactions!$B:$B,"&lt;="&amp;$B$7,Transactions!$C:$C,"Expense",Transactions!$F:$F,A26)</f>
        <v>11599</v>
      </c>
      <c r="D26" s="42" t="s">
        <v>92</v>
      </c>
      <c r="E26" s="41">
        <f>SUMIFS(Transactions!$D:$D,Transactions!$B:$B,"&gt;="&amp;$B$6,Transactions!$B:$B,"&lt;="&amp;$B$7,Transactions!$C:$C,"Expense",Transactions!$G:$G,D26)
+SUMIFS(Transactions!$E:$E,Transactions!$B:$B,"&gt;="&amp;$B$6,Transactions!$B:$B,"&lt;="&amp;$B$7,Transactions!$C:$C,"Expense",Transactions!$G:$G,D26)</f>
        <v>0</v>
      </c>
    </row>
    <row r="27" ht="15.75" customHeight="1">
      <c r="A27" s="10" t="s">
        <v>88</v>
      </c>
      <c r="B27" s="41">
        <f>SUMIFS(Transactions!$D:$D,Transactions!$B:$B,"&gt;="&amp;$B$6,Transactions!$B:$B,"&lt;="&amp;$B$7,Transactions!$C:$C,"Expense",Transactions!$F:$F,A27)
+SUMIFS(Transactions!$E:$E,Transactions!$B:$B,"&gt;="&amp;$B$6,Transactions!$B:$B,"&lt;="&amp;$B$7,Transactions!$C:$C,"Expense",Transactions!$F:$F,A27)</f>
        <v>27500</v>
      </c>
      <c r="D27" s="42" t="s">
        <v>94</v>
      </c>
      <c r="E27" s="41">
        <f>SUMIFS(Transactions!$D:$D,Transactions!$B:$B,"&gt;="&amp;$B$6,Transactions!$B:$B,"&lt;="&amp;$B$7,Transactions!$C:$C,"Expense",Transactions!$G:$G,D27)
+SUMIFS(Transactions!$E:$E,Transactions!$B:$B,"&gt;="&amp;$B$6,Transactions!$B:$B,"&lt;="&amp;$B$7,Transactions!$C:$C,"Expense",Transactions!$G:$G,D27)</f>
        <v>0</v>
      </c>
    </row>
    <row r="28" ht="15.75" customHeight="1">
      <c r="A28" s="42" t="s">
        <v>55</v>
      </c>
      <c r="B28" s="41">
        <f>SUMIFS(Transactions!$D:$D,Transactions!$B:$B,"&gt;="&amp;$B$6,Transactions!$B:$B,"&lt;="&amp;$B$7,Transactions!$C:$C,"Expense",Transactions!$F:$F,A28)
+SUMIFS(Transactions!$E:$E,Transactions!$B:$B,"&gt;="&amp;$B$6,Transactions!$B:$B,"&lt;="&amp;$B$7,Transactions!$C:$C,"Expense",Transactions!$F:$F,A28)</f>
        <v>750</v>
      </c>
      <c r="D28" s="42" t="s">
        <v>96</v>
      </c>
      <c r="E28" s="41">
        <f>SUMIFS(Transactions!$D:$D,Transactions!$B:$B,"&gt;="&amp;$B$6,Transactions!$B:$B,"&lt;="&amp;$B$7,Transactions!$C:$C,"Expense",Transactions!$G:$G,D28)
+SUMIFS(Transactions!$E:$E,Transactions!$B:$B,"&gt;="&amp;$B$6,Transactions!$B:$B,"&lt;="&amp;$B$7,Transactions!$C:$C,"Expense",Transactions!$G:$G,D28)</f>
        <v>0</v>
      </c>
    </row>
    <row r="29" ht="15.75" customHeight="1">
      <c r="D29" s="42" t="s">
        <v>98</v>
      </c>
      <c r="E29" s="41">
        <f>SUMIFS(Transactions!$D:$D,Transactions!$B:$B,"&gt;="&amp;$B$6,Transactions!$B:$B,"&lt;="&amp;$B$7,Transactions!$C:$C,"Expense",Transactions!$G:$G,D29)
+SUMIFS(Transactions!$E:$E,Transactions!$B:$B,"&gt;="&amp;$B$6,Transactions!$B:$B,"&lt;="&amp;$B$7,Transactions!$C:$C,"Expense",Transactions!$G:$G,D29)</f>
        <v>0</v>
      </c>
    </row>
    <row r="30" ht="15.75" customHeight="1">
      <c r="D30" s="42" t="s">
        <v>101</v>
      </c>
      <c r="E30" s="41">
        <f>SUMIFS(Transactions!$D:$D,Transactions!$B:$B,"&gt;="&amp;$B$6,Transactions!$B:$B,"&lt;="&amp;$B$7,Transactions!$C:$C,"Expense",Transactions!$G:$G,D30)
+SUMIFS(Transactions!$E:$E,Transactions!$B:$B,"&gt;="&amp;$B$6,Transactions!$B:$B,"&lt;="&amp;$B$7,Transactions!$C:$C,"Expense",Transactions!$G:$G,D30)</f>
        <v>0</v>
      </c>
    </row>
    <row r="31" ht="15.75" customHeight="1">
      <c r="D31" s="42" t="s">
        <v>102</v>
      </c>
      <c r="E31" s="41">
        <f>SUMIFS(Transactions!$D:$D,Transactions!$B:$B,"&gt;="&amp;$B$6,Transactions!$B:$B,"&lt;="&amp;$B$7,Transactions!$C:$C,"Expense",Transactions!$G:$G,D31)
+SUMIFS(Transactions!$E:$E,Transactions!$B:$B,"&gt;="&amp;$B$6,Transactions!$B:$B,"&lt;="&amp;$B$7,Transactions!$C:$C,"Expense",Transactions!$G:$G,D31)</f>
        <v>0</v>
      </c>
    </row>
    <row r="32" ht="15.75" customHeight="1">
      <c r="D32" s="42" t="s">
        <v>104</v>
      </c>
      <c r="E32" s="41">
        <f>SUMIFS(Transactions!$D:$D,Transactions!$B:$B,"&gt;="&amp;$B$6,Transactions!$B:$B,"&lt;="&amp;$B$7,Transactions!$C:$C,"Expense",Transactions!$G:$G,D32)
+SUMIFS(Transactions!$E:$E,Transactions!$B:$B,"&gt;="&amp;$B$6,Transactions!$B:$B,"&lt;="&amp;$B$7,Transactions!$C:$C,"Expense",Transactions!$G:$G,D32)</f>
        <v>65</v>
      </c>
    </row>
    <row r="33" ht="15.75" customHeight="1">
      <c r="D33" s="42" t="s">
        <v>105</v>
      </c>
      <c r="E33" s="41">
        <f>SUMIFS(Transactions!$D:$D,Transactions!$B:$B,"&gt;="&amp;$B$6,Transactions!$B:$B,"&lt;="&amp;$B$7,Transactions!$C:$C,"Expense",Transactions!$G:$G,D33)
+SUMIFS(Transactions!$E:$E,Transactions!$B:$B,"&gt;="&amp;$B$6,Transactions!$B:$B,"&lt;="&amp;$B$7,Transactions!$C:$C,"Expense",Transactions!$G:$G,D33)</f>
        <v>0</v>
      </c>
    </row>
    <row r="34" ht="15.75" customHeight="1">
      <c r="D34" s="42" t="s">
        <v>112</v>
      </c>
      <c r="E34" s="41">
        <f>SUMIFS(Transactions!$D:$D,Transactions!$B:$B,"&gt;="&amp;$B$6,Transactions!$B:$B,"&lt;="&amp;$B$7,Transactions!$C:$C,"Expense",Transactions!$G:$G,D34)
+SUMIFS(Transactions!$E:$E,Transactions!$B:$B,"&gt;="&amp;$B$6,Transactions!$B:$B,"&lt;="&amp;$B$7,Transactions!$C:$C,"Expense",Transactions!$G:$G,D34)</f>
        <v>0</v>
      </c>
    </row>
    <row r="35" ht="15.75" customHeight="1">
      <c r="D35" s="42" t="s">
        <v>113</v>
      </c>
      <c r="E35" s="41">
        <f>SUMIFS(Transactions!$D:$D,Transactions!$B:$B,"&gt;="&amp;$B$6,Transactions!$B:$B,"&lt;="&amp;$B$7,Transactions!$C:$C,"Expense",Transactions!$G:$G,D35)
+SUMIFS(Transactions!$E:$E,Transactions!$B:$B,"&gt;="&amp;$B$6,Transactions!$B:$B,"&lt;="&amp;$B$7,Transactions!$C:$C,"Expense",Transactions!$G:$G,D35)</f>
        <v>0</v>
      </c>
    </row>
    <row r="36" ht="15.75" customHeight="1">
      <c r="D36" s="42" t="s">
        <v>115</v>
      </c>
      <c r="E36" s="41">
        <f>SUMIFS(Transactions!$D:$D,Transactions!$B:$B,"&gt;="&amp;$B$6,Transactions!$B:$B,"&lt;="&amp;$B$7,Transactions!$C:$C,"Expense",Transactions!$G:$G,D36)
+SUMIFS(Transactions!$E:$E,Transactions!$B:$B,"&gt;="&amp;$B$6,Transactions!$B:$B,"&lt;="&amp;$B$7,Transactions!$C:$C,"Expense",Transactions!$G:$G,D36)</f>
        <v>0</v>
      </c>
    </row>
    <row r="37" ht="15.75" customHeight="1">
      <c r="D37" s="42" t="s">
        <v>116</v>
      </c>
      <c r="E37" s="41">
        <f>SUMIFS(Transactions!$D:$D,Transactions!$B:$B,"&gt;="&amp;$B$6,Transactions!$B:$B,"&lt;="&amp;$B$7,Transactions!$C:$C,"Expense",Transactions!$G:$G,D37)
+SUMIFS(Transactions!$E:$E,Transactions!$B:$B,"&gt;="&amp;$B$6,Transactions!$B:$B,"&lt;="&amp;$B$7,Transactions!$C:$C,"Expense",Transactions!$G:$G,D37)</f>
        <v>0</v>
      </c>
    </row>
    <row r="38" ht="15.75" customHeight="1">
      <c r="D38" s="42" t="s">
        <v>119</v>
      </c>
      <c r="E38" s="41">
        <f>SUMIFS(Transactions!$D:$D,Transactions!$B:$B,"&gt;="&amp;$B$6,Transactions!$B:$B,"&lt;="&amp;$B$7,Transactions!$C:$C,"Expense",Transactions!$G:$G,D38)
+SUMIFS(Transactions!$E:$E,Transactions!$B:$B,"&gt;="&amp;$B$6,Transactions!$B:$B,"&lt;="&amp;$B$7,Transactions!$C:$C,"Expense",Transactions!$G:$G,D38)</f>
        <v>0</v>
      </c>
    </row>
    <row r="39" ht="15.75" customHeight="1">
      <c r="D39" s="42" t="s">
        <v>121</v>
      </c>
      <c r="E39" s="41">
        <f>SUMIFS(Transactions!$D:$D,Transactions!$B:$B,"&gt;="&amp;$B$6,Transactions!$B:$B,"&lt;="&amp;$B$7,Transactions!$C:$C,"Expense",Transactions!$G:$G,D39)
+SUMIFS(Transactions!$E:$E,Transactions!$B:$B,"&gt;="&amp;$B$6,Transactions!$B:$B,"&lt;="&amp;$B$7,Transactions!$C:$C,"Expense",Transactions!$G:$G,D39)</f>
        <v>0</v>
      </c>
    </row>
    <row r="40" ht="15.75" customHeight="1">
      <c r="D40" s="42" t="s">
        <v>125</v>
      </c>
      <c r="E40" s="41">
        <f>SUMIFS(Transactions!$D:$D,Transactions!$B:$B,"&gt;="&amp;$B$6,Transactions!$B:$B,"&lt;="&amp;$B$7,Transactions!$C:$C,"Expense",Transactions!$G:$G,D40)
+SUMIFS(Transactions!$E:$E,Transactions!$B:$B,"&gt;="&amp;$B$6,Transactions!$B:$B,"&lt;="&amp;$B$7,Transactions!$C:$C,"Expense",Transactions!$G:$G,D40)</f>
        <v>0</v>
      </c>
    </row>
    <row r="41" ht="15.75" customHeight="1">
      <c r="D41" s="42" t="s">
        <v>126</v>
      </c>
      <c r="E41" s="41">
        <f>SUMIFS(Transactions!$D:$D,Transactions!$B:$B,"&gt;="&amp;$B$6,Transactions!$B:$B,"&lt;="&amp;$B$7,Transactions!$C:$C,"Expense",Transactions!$G:$G,D41)
+SUMIFS(Transactions!$E:$E,Transactions!$B:$B,"&gt;="&amp;$B$6,Transactions!$B:$B,"&lt;="&amp;$B$7,Transactions!$C:$C,"Expense",Transactions!$G:$G,D41)</f>
        <v>0</v>
      </c>
    </row>
    <row r="42" ht="15.75" customHeight="1">
      <c r="D42" s="42" t="s">
        <v>129</v>
      </c>
      <c r="E42" s="41">
        <f>SUMIFS(Transactions!$D:$D,Transactions!$B:$B,"&gt;="&amp;$B$6,Transactions!$B:$B,"&lt;="&amp;$B$7,Transactions!$C:$C,"Expense",Transactions!$G:$G,D42)
+SUMIFS(Transactions!$E:$E,Transactions!$B:$B,"&gt;="&amp;$B$6,Transactions!$B:$B,"&lt;="&amp;$B$7,Transactions!$C:$C,"Expense",Transactions!$G:$G,D42)</f>
        <v>0</v>
      </c>
    </row>
    <row r="43" ht="15.75" customHeight="1">
      <c r="D43" s="42" t="s">
        <v>130</v>
      </c>
      <c r="E43" s="41">
        <f>SUMIFS(Transactions!$D:$D,Transactions!$B:$B,"&gt;="&amp;$B$6,Transactions!$B:$B,"&lt;="&amp;$B$7,Transactions!$C:$C,"Expense",Transactions!$G:$G,D43)
+SUMIFS(Transactions!$E:$E,Transactions!$B:$B,"&gt;="&amp;$B$6,Transactions!$B:$B,"&lt;="&amp;$B$7,Transactions!$C:$C,"Expense",Transactions!$G:$G,D43)</f>
        <v>0</v>
      </c>
    </row>
    <row r="44" ht="15.75" customHeight="1">
      <c r="D44" s="42" t="s">
        <v>152</v>
      </c>
      <c r="E44" s="41">
        <f>SUMIFS(Transactions!$D:$D,Transactions!$B:$B,"&gt;="&amp;$B$6,Transactions!$B:$B,"&lt;="&amp;$B$7,Transactions!$C:$C,"Expense",Transactions!$G:$G,D44)
+SUMIFS(Transactions!$E:$E,Transactions!$B:$B,"&gt;="&amp;$B$6,Transactions!$B:$B,"&lt;="&amp;$B$7,Transactions!$C:$C,"Expense",Transactions!$G:$G,D44)</f>
        <v>0</v>
      </c>
    </row>
    <row r="45" ht="15.75" customHeight="1">
      <c r="D45" s="42" t="s">
        <v>62</v>
      </c>
      <c r="E45" s="41">
        <f>SUMIFS(Transactions!$D:$D,Transactions!$B:$B,"&gt;="&amp;$B$6,Transactions!$B:$B,"&lt;="&amp;$B$7,Transactions!$C:$C,"Expense",Transactions!$G:$G,D45)
+SUMIFS(Transactions!$E:$E,Transactions!$B:$B,"&gt;="&amp;$B$6,Transactions!$B:$B,"&lt;="&amp;$B$7,Transactions!$C:$C,"Expense",Transactions!$G:$G,D45)</f>
        <v>0</v>
      </c>
    </row>
    <row r="46" ht="15.75" customHeight="1">
      <c r="D46" s="42" t="s">
        <v>135</v>
      </c>
      <c r="E46" s="41">
        <f>SUMIFS(Transactions!$D:$D,Transactions!$B:$B,"&gt;="&amp;$B$6,Transactions!$B:$B,"&lt;="&amp;$B$7,Transactions!$C:$C,"Expense",Transactions!$G:$G,D46)
+SUMIFS(Transactions!$E:$E,Transactions!$B:$B,"&gt;="&amp;$B$6,Transactions!$B:$B,"&lt;="&amp;$B$7,Transactions!$C:$C,"Expense",Transactions!$G:$G,D46)</f>
        <v>0</v>
      </c>
    </row>
    <row r="47" ht="15.75" customHeight="1">
      <c r="D47" s="42" t="s">
        <v>158</v>
      </c>
      <c r="E47" s="41">
        <f>SUMIFS(Transactions!$D:$D,Transactions!$B:$B,"&gt;="&amp;$B$6,Transactions!$B:$B,"&lt;="&amp;$B$7,Transactions!$C:$C,"Expense",Transactions!$G:$G,D47)
+SUMIFS(Transactions!$E:$E,Transactions!$B:$B,"&gt;="&amp;$B$6,Transactions!$B:$B,"&lt;="&amp;$B$7,Transactions!$C:$C,"Expense",Transactions!$G:$G,D47)</f>
        <v>0</v>
      </c>
    </row>
    <row r="48" ht="15.75" customHeight="1">
      <c r="D48" s="42" t="s">
        <v>159</v>
      </c>
      <c r="E48" s="41">
        <f>SUMIFS(Transactions!$D:$D,Transactions!$B:$B,"&gt;="&amp;$B$6,Transactions!$B:$B,"&lt;="&amp;$B$7,Transactions!$C:$C,"Expense",Transactions!$G:$G,D48)
+SUMIFS(Transactions!$E:$E,Transactions!$B:$B,"&gt;="&amp;$B$6,Transactions!$B:$B,"&lt;="&amp;$B$7,Transactions!$C:$C,"Expense",Transactions!$G:$G,D48)</f>
        <v>0</v>
      </c>
    </row>
    <row r="49" ht="15.75" customHeight="1">
      <c r="D49" s="42" t="s">
        <v>161</v>
      </c>
      <c r="E49" s="41">
        <f>SUMIFS(Transactions!$D:$D,Transactions!$B:$B,"&gt;="&amp;$B$6,Transactions!$B:$B,"&lt;="&amp;$B$7,Transactions!$C:$C,"Expense",Transactions!$G:$G,D49)
+SUMIFS(Transactions!$E:$E,Transactions!$B:$B,"&gt;="&amp;$B$6,Transactions!$B:$B,"&lt;="&amp;$B$7,Transactions!$C:$C,"Expense",Transactions!$G:$G,D49)</f>
        <v>0</v>
      </c>
    </row>
    <row r="50" ht="15.75" customHeight="1">
      <c r="D50" s="42" t="s">
        <v>162</v>
      </c>
      <c r="E50" s="41">
        <f>SUMIFS(Transactions!$D:$D,Transactions!$B:$B,"&gt;="&amp;$B$6,Transactions!$B:$B,"&lt;="&amp;$B$7,Transactions!$C:$C,"Expense",Transactions!$G:$G,D50)
+SUMIFS(Transactions!$E:$E,Transactions!$B:$B,"&gt;="&amp;$B$6,Transactions!$B:$B,"&lt;="&amp;$B$7,Transactions!$C:$C,"Expense",Transactions!$G:$G,D50)</f>
        <v>0</v>
      </c>
    </row>
    <row r="51" ht="15.75" customHeight="1">
      <c r="D51" s="42" t="s">
        <v>156</v>
      </c>
      <c r="E51" s="41">
        <f>SUMIFS(Transactions!$D:$D,Transactions!$B:$B,"&gt;="&amp;$B$6,Transactions!$B:$B,"&lt;="&amp;$B$7,Transactions!$C:$C,"Expense",Transactions!$G:$G,D51)
+SUMIFS(Transactions!$E:$E,Transactions!$B:$B,"&gt;="&amp;$B$6,Transactions!$B:$B,"&lt;="&amp;$B$7,Transactions!$C:$C,"Expense",Transactions!$G:$G,D51)</f>
        <v>0</v>
      </c>
    </row>
    <row r="52" ht="15.75" customHeight="1">
      <c r="D52" s="44" t="s">
        <v>110</v>
      </c>
      <c r="E52" s="41">
        <f>SUMIFS(Transactions!$D:$D,Transactions!$B:$B,"&gt;="&amp;$B$6,Transactions!$B:$B,"&lt;="&amp;$B$7,Transactions!$C:$C,"Expense",Transactions!$G:$G,D52)
+SUMIFS(Transactions!$E:$E,Transactions!$B:$B,"&gt;="&amp;$B$6,Transactions!$B:$B,"&lt;="&amp;$B$7,Transactions!$C:$C,"Expense",Transactions!$G:$G,D52)</f>
        <v>13874</v>
      </c>
    </row>
    <row r="53" ht="15.75" customHeight="1">
      <c r="D53" s="42" t="s">
        <v>157</v>
      </c>
      <c r="E53" s="41">
        <f>SUMIFS(Transactions!$D:$D,Transactions!$B:$B,"&gt;="&amp;$B$6,Transactions!$B:$B,"&lt;="&amp;$B$7,Transactions!$C:$C,"Expense",Transactions!$G:$G,D53)
+SUMIFS(Transactions!$E:$E,Transactions!$B:$B,"&gt;="&amp;$B$6,Transactions!$B:$B,"&lt;="&amp;$B$7,Transactions!$C:$C,"Expense",Transactions!$G:$G,D53)</f>
        <v>0</v>
      </c>
    </row>
    <row r="54" ht="15.75" customHeight="1">
      <c r="D54" s="42" t="s">
        <v>164</v>
      </c>
      <c r="E54" s="41">
        <f>SUMIFS(Transactions!$D:$D,Transactions!$B:$B,"&gt;="&amp;$B$6,Transactions!$B:$B,"&lt;="&amp;$B$7,Transactions!$C:$C,"Expense",Transactions!$G:$G,D54)
+SUMIFS(Transactions!$E:$E,Transactions!$B:$B,"&gt;="&amp;$B$6,Transactions!$B:$B,"&lt;="&amp;$B$7,Transactions!$C:$C,"Expense",Transactions!$G:$G,D54)</f>
        <v>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D3:F4"/>
  </mergeCells>
  <dataValidations>
    <dataValidation type="list" allowBlank="1" sqref="B2">
      <formula1>"Week,Month,Quarter,Year"</formula1>
    </dataValidation>
    <dataValidation type="list" allowBlank="1" sqref="B3">
      <formula1>"2024,2025,2026,2027,2028,2029,2030"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6" width="18.0"/>
    <col customWidth="1" min="7" max="26" width="8.71"/>
  </cols>
  <sheetData>
    <row r="1">
      <c r="A1" s="33" t="s">
        <v>180</v>
      </c>
    </row>
    <row r="2">
      <c r="A2" s="34" t="s">
        <v>13</v>
      </c>
      <c r="B2" s="35">
        <v>2026.0</v>
      </c>
    </row>
    <row r="4">
      <c r="A4" s="36" t="s">
        <v>181</v>
      </c>
      <c r="B4" s="36" t="s">
        <v>182</v>
      </c>
      <c r="C4" s="36" t="s">
        <v>183</v>
      </c>
      <c r="D4" s="36" t="s">
        <v>36</v>
      </c>
      <c r="E4" s="36" t="s">
        <v>184</v>
      </c>
      <c r="F4" s="36" t="s">
        <v>185</v>
      </c>
    </row>
    <row r="5">
      <c r="A5" s="38">
        <f>DATE($B$2,1,1)-WEEKDAY(DATE($B$2,1,1),2)+1</f>
        <v>46020</v>
      </c>
      <c r="B5" s="38">
        <f t="shared" ref="B5:B58" si="1">A5+6</f>
        <v>46026</v>
      </c>
      <c r="C5" s="41">
        <f>SUMIFS(Transactions!$D:$D,Transactions!$B:$B,"&gt;="&amp;A5,Transactions!$B:$B,"&lt;="&amp;B5,Transactions!$C:$C,"Expense")
+SUMIFS(Transactions!$E:$E,Transactions!$B:$B,"&gt;="&amp;A5,Transactions!$B:$B,"&lt;="&amp;B5,Transactions!$C:$C,"Expense")</f>
        <v>0</v>
      </c>
      <c r="D5" s="41">
        <f>SUMIFS(Transactions!$D:$D,Transactions!$B:$B,"&gt;="&amp;A5,Transactions!$B:$B,"&lt;="&amp;B5,Transactions!$C:$C,"Income")</f>
        <v>0</v>
      </c>
      <c r="E5" s="41">
        <f>SUMIFS(Transactions!$D:$D,Transactions!$B:$B,"&gt;="&amp;A5,Transactions!$B:$B,"&lt;="&amp;B5,Transactions!$C:$C,"Transfer")</f>
        <v>0</v>
      </c>
      <c r="F5" s="41">
        <f t="shared" ref="F5:F58" si="2">D5-C5</f>
        <v>0</v>
      </c>
    </row>
    <row r="6">
      <c r="A6" s="38">
        <f t="shared" ref="A6:A58" si="3">A5+7</f>
        <v>46027</v>
      </c>
      <c r="B6" s="38">
        <f t="shared" si="1"/>
        <v>46033</v>
      </c>
      <c r="C6" s="41">
        <f>SUMIFS(Transactions!$D:$D,Transactions!$B:$B,"&gt;="&amp;A6,Transactions!$B:$B,"&lt;="&amp;B6,Transactions!$C:$C,"Expense")
+SUMIFS(Transactions!$E:$E,Transactions!$B:$B,"&gt;="&amp;A6,Transactions!$B:$B,"&lt;="&amp;B6,Transactions!$C:$C,"Expense")</f>
        <v>0</v>
      </c>
      <c r="D6" s="41">
        <f>SUMIFS(Transactions!$D:$D,Transactions!$B:$B,"&gt;="&amp;A6,Transactions!$B:$B,"&lt;="&amp;B6,Transactions!$C:$C,"Income")</f>
        <v>0</v>
      </c>
      <c r="E6" s="41">
        <f>SUMIFS(Transactions!$D:$D,Transactions!$B:$B,"&gt;="&amp;A6,Transactions!$B:$B,"&lt;="&amp;B6,Transactions!$C:$C,"Transfer")</f>
        <v>0</v>
      </c>
      <c r="F6" s="41">
        <f t="shared" si="2"/>
        <v>0</v>
      </c>
    </row>
    <row r="7">
      <c r="A7" s="38">
        <f t="shared" si="3"/>
        <v>46034</v>
      </c>
      <c r="B7" s="38">
        <f t="shared" si="1"/>
        <v>46040</v>
      </c>
      <c r="C7" s="41">
        <f>SUMIFS(Transactions!$D:$D,Transactions!$B:$B,"&gt;="&amp;A7,Transactions!$B:$B,"&lt;="&amp;B7,Transactions!$C:$C,"Expense")
+SUMIFS(Transactions!$E:$E,Transactions!$B:$B,"&gt;="&amp;A7,Transactions!$B:$B,"&lt;="&amp;B7,Transactions!$C:$C,"Expense")</f>
        <v>0</v>
      </c>
      <c r="D7" s="41">
        <f>SUMIFS(Transactions!$D:$D,Transactions!$B:$B,"&gt;="&amp;A7,Transactions!$B:$B,"&lt;="&amp;B7,Transactions!$C:$C,"Income")</f>
        <v>0</v>
      </c>
      <c r="E7" s="41">
        <f>SUMIFS(Transactions!$D:$D,Transactions!$B:$B,"&gt;="&amp;A7,Transactions!$B:$B,"&lt;="&amp;B7,Transactions!$C:$C,"Transfer")</f>
        <v>0</v>
      </c>
      <c r="F7" s="41">
        <f t="shared" si="2"/>
        <v>0</v>
      </c>
    </row>
    <row r="8">
      <c r="A8" s="38">
        <f t="shared" si="3"/>
        <v>46041</v>
      </c>
      <c r="B8" s="38">
        <f t="shared" si="1"/>
        <v>46047</v>
      </c>
      <c r="C8" s="41">
        <f>SUMIFS(Transactions!$D:$D,Transactions!$B:$B,"&gt;="&amp;A8,Transactions!$B:$B,"&lt;="&amp;B8,Transactions!$C:$C,"Expense")
+SUMIFS(Transactions!$E:$E,Transactions!$B:$B,"&gt;="&amp;A8,Transactions!$B:$B,"&lt;="&amp;B8,Transactions!$C:$C,"Expense")</f>
        <v>0</v>
      </c>
      <c r="D8" s="41">
        <f>SUMIFS(Transactions!$D:$D,Transactions!$B:$B,"&gt;="&amp;A8,Transactions!$B:$B,"&lt;="&amp;B8,Transactions!$C:$C,"Income")</f>
        <v>0</v>
      </c>
      <c r="E8" s="41">
        <f>SUMIFS(Transactions!$D:$D,Transactions!$B:$B,"&gt;="&amp;A8,Transactions!$B:$B,"&lt;="&amp;B8,Transactions!$C:$C,"Transfer")</f>
        <v>0</v>
      </c>
      <c r="F8" s="41">
        <f t="shared" si="2"/>
        <v>0</v>
      </c>
    </row>
    <row r="9">
      <c r="A9" s="38">
        <f t="shared" si="3"/>
        <v>46048</v>
      </c>
      <c r="B9" s="38">
        <f t="shared" si="1"/>
        <v>46054</v>
      </c>
      <c r="C9" s="41">
        <f>SUMIFS(Transactions!$D:$D,Transactions!$B:$B,"&gt;="&amp;A9,Transactions!$B:$B,"&lt;="&amp;B9,Transactions!$C:$C,"Expense")
+SUMIFS(Transactions!$E:$E,Transactions!$B:$B,"&gt;="&amp;A9,Transactions!$B:$B,"&lt;="&amp;B9,Transactions!$C:$C,"Expense")</f>
        <v>0</v>
      </c>
      <c r="D9" s="41">
        <f>SUMIFS(Transactions!$D:$D,Transactions!$B:$B,"&gt;="&amp;A9,Transactions!$B:$B,"&lt;="&amp;B9,Transactions!$C:$C,"Income")</f>
        <v>0</v>
      </c>
      <c r="E9" s="41">
        <f>SUMIFS(Transactions!$D:$D,Transactions!$B:$B,"&gt;="&amp;A9,Transactions!$B:$B,"&lt;="&amp;B9,Transactions!$C:$C,"Transfer")</f>
        <v>0</v>
      </c>
      <c r="F9" s="41">
        <f t="shared" si="2"/>
        <v>0</v>
      </c>
    </row>
    <row r="10">
      <c r="A10" s="38">
        <f t="shared" si="3"/>
        <v>46055</v>
      </c>
      <c r="B10" s="38">
        <f t="shared" si="1"/>
        <v>46061</v>
      </c>
      <c r="C10" s="41">
        <f>SUMIFS(Transactions!$D:$D,Transactions!$B:$B,"&gt;="&amp;A10,Transactions!$B:$B,"&lt;="&amp;B10,Transactions!$C:$C,"Expense")
+SUMIFS(Transactions!$E:$E,Transactions!$B:$B,"&gt;="&amp;A10,Transactions!$B:$B,"&lt;="&amp;B10,Transactions!$C:$C,"Expense")</f>
        <v>0</v>
      </c>
      <c r="D10" s="41">
        <f>SUMIFS(Transactions!$D:$D,Transactions!$B:$B,"&gt;="&amp;A10,Transactions!$B:$B,"&lt;="&amp;B10,Transactions!$C:$C,"Income")</f>
        <v>0</v>
      </c>
      <c r="E10" s="41">
        <f>SUMIFS(Transactions!$D:$D,Transactions!$B:$B,"&gt;="&amp;A10,Transactions!$B:$B,"&lt;="&amp;B10,Transactions!$C:$C,"Transfer")</f>
        <v>0</v>
      </c>
      <c r="F10" s="41">
        <f t="shared" si="2"/>
        <v>0</v>
      </c>
    </row>
    <row r="11">
      <c r="A11" s="38">
        <f t="shared" si="3"/>
        <v>46062</v>
      </c>
      <c r="B11" s="38">
        <f t="shared" si="1"/>
        <v>46068</v>
      </c>
      <c r="C11" s="41">
        <f>SUMIFS(Transactions!$D:$D,Transactions!$B:$B,"&gt;="&amp;A11,Transactions!$B:$B,"&lt;="&amp;B11,Transactions!$C:$C,"Expense")
+SUMIFS(Transactions!$E:$E,Transactions!$B:$B,"&gt;="&amp;A11,Transactions!$B:$B,"&lt;="&amp;B11,Transactions!$C:$C,"Expense")</f>
        <v>0</v>
      </c>
      <c r="D11" s="41">
        <f>SUMIFS(Transactions!$D:$D,Transactions!$B:$B,"&gt;="&amp;A11,Transactions!$B:$B,"&lt;="&amp;B11,Transactions!$C:$C,"Income")</f>
        <v>0</v>
      </c>
      <c r="E11" s="41">
        <f>SUMIFS(Transactions!$D:$D,Transactions!$B:$B,"&gt;="&amp;A11,Transactions!$B:$B,"&lt;="&amp;B11,Transactions!$C:$C,"Transfer")</f>
        <v>0</v>
      </c>
      <c r="F11" s="41">
        <f t="shared" si="2"/>
        <v>0</v>
      </c>
    </row>
    <row r="12">
      <c r="A12" s="38">
        <f t="shared" si="3"/>
        <v>46069</v>
      </c>
      <c r="B12" s="38">
        <f t="shared" si="1"/>
        <v>46075</v>
      </c>
      <c r="C12" s="41">
        <f>SUMIFS(Transactions!$D:$D,Transactions!$B:$B,"&gt;="&amp;A12,Transactions!$B:$B,"&lt;="&amp;B12,Transactions!$C:$C,"Expense")
+SUMIFS(Transactions!$E:$E,Transactions!$B:$B,"&gt;="&amp;A12,Transactions!$B:$B,"&lt;="&amp;B12,Transactions!$C:$C,"Expense")</f>
        <v>0</v>
      </c>
      <c r="D12" s="41">
        <f>SUMIFS(Transactions!$D:$D,Transactions!$B:$B,"&gt;="&amp;A12,Transactions!$B:$B,"&lt;="&amp;B12,Transactions!$C:$C,"Income")</f>
        <v>0</v>
      </c>
      <c r="E12" s="41">
        <f>SUMIFS(Transactions!$D:$D,Transactions!$B:$B,"&gt;="&amp;A12,Transactions!$B:$B,"&lt;="&amp;B12,Transactions!$C:$C,"Transfer")</f>
        <v>0</v>
      </c>
      <c r="F12" s="41">
        <f t="shared" si="2"/>
        <v>0</v>
      </c>
    </row>
    <row r="13">
      <c r="A13" s="38">
        <f t="shared" si="3"/>
        <v>46076</v>
      </c>
      <c r="B13" s="38">
        <f t="shared" si="1"/>
        <v>46082</v>
      </c>
      <c r="C13" s="41">
        <f>SUMIFS(Transactions!$D:$D,Transactions!$B:$B,"&gt;="&amp;A13,Transactions!$B:$B,"&lt;="&amp;B13,Transactions!$C:$C,"Expense")
+SUMIFS(Transactions!$E:$E,Transactions!$B:$B,"&gt;="&amp;A13,Transactions!$B:$B,"&lt;="&amp;B13,Transactions!$C:$C,"Expense")</f>
        <v>0</v>
      </c>
      <c r="D13" s="41">
        <f>SUMIFS(Transactions!$D:$D,Transactions!$B:$B,"&gt;="&amp;A13,Transactions!$B:$B,"&lt;="&amp;B13,Transactions!$C:$C,"Income")</f>
        <v>0</v>
      </c>
      <c r="E13" s="41">
        <f>SUMIFS(Transactions!$D:$D,Transactions!$B:$B,"&gt;="&amp;A13,Transactions!$B:$B,"&lt;="&amp;B13,Transactions!$C:$C,"Transfer")</f>
        <v>0</v>
      </c>
      <c r="F13" s="41">
        <f t="shared" si="2"/>
        <v>0</v>
      </c>
    </row>
    <row r="14">
      <c r="A14" s="38">
        <f t="shared" si="3"/>
        <v>46083</v>
      </c>
      <c r="B14" s="38">
        <f t="shared" si="1"/>
        <v>46089</v>
      </c>
      <c r="C14" s="41">
        <f>SUMIFS(Transactions!$D:$D,Transactions!$B:$B,"&gt;="&amp;A14,Transactions!$B:$B,"&lt;="&amp;B14,Transactions!$C:$C,"Expense")
+SUMIFS(Transactions!$E:$E,Transactions!$B:$B,"&gt;="&amp;A14,Transactions!$B:$B,"&lt;="&amp;B14,Transactions!$C:$C,"Expense")</f>
        <v>0</v>
      </c>
      <c r="D14" s="41">
        <f>SUMIFS(Transactions!$D:$D,Transactions!$B:$B,"&gt;="&amp;A14,Transactions!$B:$B,"&lt;="&amp;B14,Transactions!$C:$C,"Income")</f>
        <v>0</v>
      </c>
      <c r="E14" s="41">
        <f>SUMIFS(Transactions!$D:$D,Transactions!$B:$B,"&gt;="&amp;A14,Transactions!$B:$B,"&lt;="&amp;B14,Transactions!$C:$C,"Transfer")</f>
        <v>0</v>
      </c>
      <c r="F14" s="41">
        <f t="shared" si="2"/>
        <v>0</v>
      </c>
    </row>
    <row r="15">
      <c r="A15" s="38">
        <f t="shared" si="3"/>
        <v>46090</v>
      </c>
      <c r="B15" s="38">
        <f t="shared" si="1"/>
        <v>46096</v>
      </c>
      <c r="C15" s="41">
        <f>SUMIFS(Transactions!$D:$D,Transactions!$B:$B,"&gt;="&amp;A15,Transactions!$B:$B,"&lt;="&amp;B15,Transactions!$C:$C,"Expense")
+SUMIFS(Transactions!$E:$E,Transactions!$B:$B,"&gt;="&amp;A15,Transactions!$B:$B,"&lt;="&amp;B15,Transactions!$C:$C,"Expense")</f>
        <v>0</v>
      </c>
      <c r="D15" s="41">
        <f>SUMIFS(Transactions!$D:$D,Transactions!$B:$B,"&gt;="&amp;A15,Transactions!$B:$B,"&lt;="&amp;B15,Transactions!$C:$C,"Income")</f>
        <v>0</v>
      </c>
      <c r="E15" s="41">
        <f>SUMIFS(Transactions!$D:$D,Transactions!$B:$B,"&gt;="&amp;A15,Transactions!$B:$B,"&lt;="&amp;B15,Transactions!$C:$C,"Transfer")</f>
        <v>0</v>
      </c>
      <c r="F15" s="41">
        <f t="shared" si="2"/>
        <v>0</v>
      </c>
    </row>
    <row r="16">
      <c r="A16" s="38">
        <f t="shared" si="3"/>
        <v>46097</v>
      </c>
      <c r="B16" s="38">
        <f t="shared" si="1"/>
        <v>46103</v>
      </c>
      <c r="C16" s="41">
        <f>SUMIFS(Transactions!$D:$D,Transactions!$B:$B,"&gt;="&amp;A16,Transactions!$B:$B,"&lt;="&amp;B16,Transactions!$C:$C,"Expense")
+SUMIFS(Transactions!$E:$E,Transactions!$B:$B,"&gt;="&amp;A16,Transactions!$B:$B,"&lt;="&amp;B16,Transactions!$C:$C,"Expense")</f>
        <v>0</v>
      </c>
      <c r="D16" s="41">
        <f>SUMIFS(Transactions!$D:$D,Transactions!$B:$B,"&gt;="&amp;A16,Transactions!$B:$B,"&lt;="&amp;B16,Transactions!$C:$C,"Income")</f>
        <v>0</v>
      </c>
      <c r="E16" s="41">
        <f>SUMIFS(Transactions!$D:$D,Transactions!$B:$B,"&gt;="&amp;A16,Transactions!$B:$B,"&lt;="&amp;B16,Transactions!$C:$C,"Transfer")</f>
        <v>0</v>
      </c>
      <c r="F16" s="41">
        <f t="shared" si="2"/>
        <v>0</v>
      </c>
    </row>
    <row r="17">
      <c r="A17" s="38">
        <f t="shared" si="3"/>
        <v>46104</v>
      </c>
      <c r="B17" s="38">
        <f t="shared" si="1"/>
        <v>46110</v>
      </c>
      <c r="C17" s="41">
        <f>SUMIFS(Transactions!$D:$D,Transactions!$B:$B,"&gt;="&amp;A17,Transactions!$B:$B,"&lt;="&amp;B17,Transactions!$C:$C,"Expense")
+SUMIFS(Transactions!$E:$E,Transactions!$B:$B,"&gt;="&amp;A17,Transactions!$B:$B,"&lt;="&amp;B17,Transactions!$C:$C,"Expense")</f>
        <v>0</v>
      </c>
      <c r="D17" s="41">
        <f>SUMIFS(Transactions!$D:$D,Transactions!$B:$B,"&gt;="&amp;A17,Transactions!$B:$B,"&lt;="&amp;B17,Transactions!$C:$C,"Income")</f>
        <v>0</v>
      </c>
      <c r="E17" s="41">
        <f>SUMIFS(Transactions!$D:$D,Transactions!$B:$B,"&gt;="&amp;A17,Transactions!$B:$B,"&lt;="&amp;B17,Transactions!$C:$C,"Transfer")</f>
        <v>0</v>
      </c>
      <c r="F17" s="41">
        <f t="shared" si="2"/>
        <v>0</v>
      </c>
    </row>
    <row r="18">
      <c r="A18" s="38">
        <f t="shared" si="3"/>
        <v>46111</v>
      </c>
      <c r="B18" s="38">
        <f t="shared" si="1"/>
        <v>46117</v>
      </c>
      <c r="C18" s="41">
        <f>SUMIFS(Transactions!$D:$D,Transactions!$B:$B,"&gt;="&amp;A18,Transactions!$B:$B,"&lt;="&amp;B18,Transactions!$C:$C,"Expense")
+SUMIFS(Transactions!$E:$E,Transactions!$B:$B,"&gt;="&amp;A18,Transactions!$B:$B,"&lt;="&amp;B18,Transactions!$C:$C,"Expense")</f>
        <v>0</v>
      </c>
      <c r="D18" s="41">
        <f>SUMIFS(Transactions!$D:$D,Transactions!$B:$B,"&gt;="&amp;A18,Transactions!$B:$B,"&lt;="&amp;B18,Transactions!$C:$C,"Income")</f>
        <v>0</v>
      </c>
      <c r="E18" s="41">
        <f>SUMIFS(Transactions!$D:$D,Transactions!$B:$B,"&gt;="&amp;A18,Transactions!$B:$B,"&lt;="&amp;B18,Transactions!$C:$C,"Transfer")</f>
        <v>0</v>
      </c>
      <c r="F18" s="41">
        <f t="shared" si="2"/>
        <v>0</v>
      </c>
    </row>
    <row r="19">
      <c r="A19" s="38">
        <f t="shared" si="3"/>
        <v>46118</v>
      </c>
      <c r="B19" s="38">
        <f t="shared" si="1"/>
        <v>46124</v>
      </c>
      <c r="C19" s="41">
        <f>SUMIFS(Transactions!$D:$D,Transactions!$B:$B,"&gt;="&amp;A19,Transactions!$B:$B,"&lt;="&amp;B19,Transactions!$C:$C,"Expense")
+SUMIFS(Transactions!$E:$E,Transactions!$B:$B,"&gt;="&amp;A19,Transactions!$B:$B,"&lt;="&amp;B19,Transactions!$C:$C,"Expense")</f>
        <v>0</v>
      </c>
      <c r="D19" s="41">
        <f>SUMIFS(Transactions!$D:$D,Transactions!$B:$B,"&gt;="&amp;A19,Transactions!$B:$B,"&lt;="&amp;B19,Transactions!$C:$C,"Income")</f>
        <v>0</v>
      </c>
      <c r="E19" s="41">
        <f>SUMIFS(Transactions!$D:$D,Transactions!$B:$B,"&gt;="&amp;A19,Transactions!$B:$B,"&lt;="&amp;B19,Transactions!$C:$C,"Transfer")</f>
        <v>0</v>
      </c>
      <c r="F19" s="41">
        <f t="shared" si="2"/>
        <v>0</v>
      </c>
    </row>
    <row r="20">
      <c r="A20" s="38">
        <f t="shared" si="3"/>
        <v>46125</v>
      </c>
      <c r="B20" s="38">
        <f t="shared" si="1"/>
        <v>46131</v>
      </c>
      <c r="C20" s="41">
        <f>SUMIFS(Transactions!$D:$D,Transactions!$B:$B,"&gt;="&amp;A20,Transactions!$B:$B,"&lt;="&amp;B20,Transactions!$C:$C,"Expense")
+SUMIFS(Transactions!$E:$E,Transactions!$B:$B,"&gt;="&amp;A20,Transactions!$B:$B,"&lt;="&amp;B20,Transactions!$C:$C,"Expense")</f>
        <v>0</v>
      </c>
      <c r="D20" s="41">
        <f>SUMIFS(Transactions!$D:$D,Transactions!$B:$B,"&gt;="&amp;A20,Transactions!$B:$B,"&lt;="&amp;B20,Transactions!$C:$C,"Income")</f>
        <v>0</v>
      </c>
      <c r="E20" s="41">
        <f>SUMIFS(Transactions!$D:$D,Transactions!$B:$B,"&gt;="&amp;A20,Transactions!$B:$B,"&lt;="&amp;B20,Transactions!$C:$C,"Transfer")</f>
        <v>0</v>
      </c>
      <c r="F20" s="41">
        <f t="shared" si="2"/>
        <v>0</v>
      </c>
    </row>
    <row r="21" ht="15.75" customHeight="1">
      <c r="A21" s="38">
        <f t="shared" si="3"/>
        <v>46132</v>
      </c>
      <c r="B21" s="38">
        <f t="shared" si="1"/>
        <v>46138</v>
      </c>
      <c r="C21" s="41">
        <f>SUMIFS(Transactions!$D:$D,Transactions!$B:$B,"&gt;="&amp;A21,Transactions!$B:$B,"&lt;="&amp;B21,Transactions!$C:$C,"Expense")
+SUMIFS(Transactions!$E:$E,Transactions!$B:$B,"&gt;="&amp;A21,Transactions!$B:$B,"&lt;="&amp;B21,Transactions!$C:$C,"Expense")</f>
        <v>0</v>
      </c>
      <c r="D21" s="41">
        <f>SUMIFS(Transactions!$D:$D,Transactions!$B:$B,"&gt;="&amp;A21,Transactions!$B:$B,"&lt;="&amp;B21,Transactions!$C:$C,"Income")</f>
        <v>0</v>
      </c>
      <c r="E21" s="41">
        <f>SUMIFS(Transactions!$D:$D,Transactions!$B:$B,"&gt;="&amp;A21,Transactions!$B:$B,"&lt;="&amp;B21,Transactions!$C:$C,"Transfer")</f>
        <v>0</v>
      </c>
      <c r="F21" s="41">
        <f t="shared" si="2"/>
        <v>0</v>
      </c>
    </row>
    <row r="22" ht="15.75" customHeight="1">
      <c r="A22" s="38">
        <f t="shared" si="3"/>
        <v>46139</v>
      </c>
      <c r="B22" s="38">
        <f t="shared" si="1"/>
        <v>46145</v>
      </c>
      <c r="C22" s="41">
        <f>SUMIFS(Transactions!$D:$D,Transactions!$B:$B,"&gt;="&amp;A22,Transactions!$B:$B,"&lt;="&amp;B22,Transactions!$C:$C,"Expense")
+SUMIFS(Transactions!$E:$E,Transactions!$B:$B,"&gt;="&amp;A22,Transactions!$B:$B,"&lt;="&amp;B22,Transactions!$C:$C,"Expense")</f>
        <v>0</v>
      </c>
      <c r="D22" s="41">
        <f>SUMIFS(Transactions!$D:$D,Transactions!$B:$B,"&gt;="&amp;A22,Transactions!$B:$B,"&lt;="&amp;B22,Transactions!$C:$C,"Income")</f>
        <v>0</v>
      </c>
      <c r="E22" s="41">
        <f>SUMIFS(Transactions!$D:$D,Transactions!$B:$B,"&gt;="&amp;A22,Transactions!$B:$B,"&lt;="&amp;B22,Transactions!$C:$C,"Transfer")</f>
        <v>0</v>
      </c>
      <c r="F22" s="41">
        <f t="shared" si="2"/>
        <v>0</v>
      </c>
    </row>
    <row r="23" ht="15.75" customHeight="1">
      <c r="A23" s="38">
        <f t="shared" si="3"/>
        <v>46146</v>
      </c>
      <c r="B23" s="38">
        <f t="shared" si="1"/>
        <v>46152</v>
      </c>
      <c r="C23" s="41">
        <f>SUMIFS(Transactions!$D:$D,Transactions!$B:$B,"&gt;="&amp;A23,Transactions!$B:$B,"&lt;="&amp;B23,Transactions!$C:$C,"Expense")
+SUMIFS(Transactions!$E:$E,Transactions!$B:$B,"&gt;="&amp;A23,Transactions!$B:$B,"&lt;="&amp;B23,Transactions!$C:$C,"Expense")</f>
        <v>36431</v>
      </c>
      <c r="D23" s="41">
        <f>SUMIFS(Transactions!$D:$D,Transactions!$B:$B,"&gt;="&amp;A23,Transactions!$B:$B,"&lt;="&amp;B23,Transactions!$C:$C,"Income")</f>
        <v>18847</v>
      </c>
      <c r="E23" s="41">
        <f>SUMIFS(Transactions!$D:$D,Transactions!$B:$B,"&gt;="&amp;A23,Transactions!$B:$B,"&lt;="&amp;B23,Transactions!$C:$C,"Transfer")</f>
        <v>0</v>
      </c>
      <c r="F23" s="41">
        <f t="shared" si="2"/>
        <v>-17584</v>
      </c>
    </row>
    <row r="24" ht="15.75" customHeight="1">
      <c r="A24" s="38">
        <f t="shared" si="3"/>
        <v>46153</v>
      </c>
      <c r="B24" s="38">
        <f t="shared" si="1"/>
        <v>46159</v>
      </c>
      <c r="C24" s="41">
        <f>SUMIFS(Transactions!$D:$D,Transactions!$B:$B,"&gt;="&amp;A24,Transactions!$B:$B,"&lt;="&amp;B24,Transactions!$C:$C,"Expense")
+SUMIFS(Transactions!$E:$E,Transactions!$B:$B,"&gt;="&amp;A24,Transactions!$B:$B,"&lt;="&amp;B24,Transactions!$C:$C,"Expense")</f>
        <v>0</v>
      </c>
      <c r="D24" s="41">
        <f>SUMIFS(Transactions!$D:$D,Transactions!$B:$B,"&gt;="&amp;A24,Transactions!$B:$B,"&lt;="&amp;B24,Transactions!$C:$C,"Income")</f>
        <v>0</v>
      </c>
      <c r="E24" s="41">
        <f>SUMIFS(Transactions!$D:$D,Transactions!$B:$B,"&gt;="&amp;A24,Transactions!$B:$B,"&lt;="&amp;B24,Transactions!$C:$C,"Transfer")</f>
        <v>0</v>
      </c>
      <c r="F24" s="41">
        <f t="shared" si="2"/>
        <v>0</v>
      </c>
    </row>
    <row r="25" ht="15.75" customHeight="1">
      <c r="A25" s="38">
        <f t="shared" si="3"/>
        <v>46160</v>
      </c>
      <c r="B25" s="38">
        <f t="shared" si="1"/>
        <v>46166</v>
      </c>
      <c r="C25" s="41">
        <f>SUMIFS(Transactions!$D:$D,Transactions!$B:$B,"&gt;="&amp;A25,Transactions!$B:$B,"&lt;="&amp;B25,Transactions!$C:$C,"Expense")
+SUMIFS(Transactions!$E:$E,Transactions!$B:$B,"&gt;="&amp;A25,Transactions!$B:$B,"&lt;="&amp;B25,Transactions!$C:$C,"Expense")</f>
        <v>0</v>
      </c>
      <c r="D25" s="41">
        <f>SUMIFS(Transactions!$D:$D,Transactions!$B:$B,"&gt;="&amp;A25,Transactions!$B:$B,"&lt;="&amp;B25,Transactions!$C:$C,"Income")</f>
        <v>0</v>
      </c>
      <c r="E25" s="41">
        <f>SUMIFS(Transactions!$D:$D,Transactions!$B:$B,"&gt;="&amp;A25,Transactions!$B:$B,"&lt;="&amp;B25,Transactions!$C:$C,"Transfer")</f>
        <v>0</v>
      </c>
      <c r="F25" s="41">
        <f t="shared" si="2"/>
        <v>0</v>
      </c>
    </row>
    <row r="26" ht="15.75" customHeight="1">
      <c r="A26" s="38">
        <f t="shared" si="3"/>
        <v>46167</v>
      </c>
      <c r="B26" s="38">
        <f t="shared" si="1"/>
        <v>46173</v>
      </c>
      <c r="C26" s="41">
        <f>SUMIFS(Transactions!$D:$D,Transactions!$B:$B,"&gt;="&amp;A26,Transactions!$B:$B,"&lt;="&amp;B26,Transactions!$C:$C,"Expense")
+SUMIFS(Transactions!$E:$E,Transactions!$B:$B,"&gt;="&amp;A26,Transactions!$B:$B,"&lt;="&amp;B26,Transactions!$C:$C,"Expense")</f>
        <v>0</v>
      </c>
      <c r="D26" s="41">
        <f>SUMIFS(Transactions!$D:$D,Transactions!$B:$B,"&gt;="&amp;A26,Transactions!$B:$B,"&lt;="&amp;B26,Transactions!$C:$C,"Income")</f>
        <v>0</v>
      </c>
      <c r="E26" s="41">
        <f>SUMIFS(Transactions!$D:$D,Transactions!$B:$B,"&gt;="&amp;A26,Transactions!$B:$B,"&lt;="&amp;B26,Transactions!$C:$C,"Transfer")</f>
        <v>0</v>
      </c>
      <c r="F26" s="41">
        <f t="shared" si="2"/>
        <v>0</v>
      </c>
    </row>
    <row r="27" ht="15.75" customHeight="1">
      <c r="A27" s="38">
        <f t="shared" si="3"/>
        <v>46174</v>
      </c>
      <c r="B27" s="38">
        <f t="shared" si="1"/>
        <v>46180</v>
      </c>
      <c r="C27" s="41">
        <f>SUMIFS(Transactions!$D:$D,Transactions!$B:$B,"&gt;="&amp;A27,Transactions!$B:$B,"&lt;="&amp;B27,Transactions!$C:$C,"Expense")
+SUMIFS(Transactions!$E:$E,Transactions!$B:$B,"&gt;="&amp;A27,Transactions!$B:$B,"&lt;="&amp;B27,Transactions!$C:$C,"Expense")</f>
        <v>0</v>
      </c>
      <c r="D27" s="41">
        <f>SUMIFS(Transactions!$D:$D,Transactions!$B:$B,"&gt;="&amp;A27,Transactions!$B:$B,"&lt;="&amp;B27,Transactions!$C:$C,"Income")</f>
        <v>0</v>
      </c>
      <c r="E27" s="41">
        <f>SUMIFS(Transactions!$D:$D,Transactions!$B:$B,"&gt;="&amp;A27,Transactions!$B:$B,"&lt;="&amp;B27,Transactions!$C:$C,"Transfer")</f>
        <v>0</v>
      </c>
      <c r="F27" s="41">
        <f t="shared" si="2"/>
        <v>0</v>
      </c>
    </row>
    <row r="28" ht="15.75" customHeight="1">
      <c r="A28" s="38">
        <f t="shared" si="3"/>
        <v>46181</v>
      </c>
      <c r="B28" s="38">
        <f t="shared" si="1"/>
        <v>46187</v>
      </c>
      <c r="C28" s="41">
        <f>SUMIFS(Transactions!$D:$D,Transactions!$B:$B,"&gt;="&amp;A28,Transactions!$B:$B,"&lt;="&amp;B28,Transactions!$C:$C,"Expense")
+SUMIFS(Transactions!$E:$E,Transactions!$B:$B,"&gt;="&amp;A28,Transactions!$B:$B,"&lt;="&amp;B28,Transactions!$C:$C,"Expense")</f>
        <v>0</v>
      </c>
      <c r="D28" s="41">
        <f>SUMIFS(Transactions!$D:$D,Transactions!$B:$B,"&gt;="&amp;A28,Transactions!$B:$B,"&lt;="&amp;B28,Transactions!$C:$C,"Income")</f>
        <v>0</v>
      </c>
      <c r="E28" s="41">
        <f>SUMIFS(Transactions!$D:$D,Transactions!$B:$B,"&gt;="&amp;A28,Transactions!$B:$B,"&lt;="&amp;B28,Transactions!$C:$C,"Transfer")</f>
        <v>0</v>
      </c>
      <c r="F28" s="41">
        <f t="shared" si="2"/>
        <v>0</v>
      </c>
    </row>
    <row r="29" ht="15.75" customHeight="1">
      <c r="A29" s="38">
        <f t="shared" si="3"/>
        <v>46188</v>
      </c>
      <c r="B29" s="38">
        <f t="shared" si="1"/>
        <v>46194</v>
      </c>
      <c r="C29" s="41">
        <f>SUMIFS(Transactions!$D:$D,Transactions!$B:$B,"&gt;="&amp;A29,Transactions!$B:$B,"&lt;="&amp;B29,Transactions!$C:$C,"Expense")
+SUMIFS(Transactions!$E:$E,Transactions!$B:$B,"&gt;="&amp;A29,Transactions!$B:$B,"&lt;="&amp;B29,Transactions!$C:$C,"Expense")</f>
        <v>0</v>
      </c>
      <c r="D29" s="41">
        <f>SUMIFS(Transactions!$D:$D,Transactions!$B:$B,"&gt;="&amp;A29,Transactions!$B:$B,"&lt;="&amp;B29,Transactions!$C:$C,"Income")</f>
        <v>0</v>
      </c>
      <c r="E29" s="41">
        <f>SUMIFS(Transactions!$D:$D,Transactions!$B:$B,"&gt;="&amp;A29,Transactions!$B:$B,"&lt;="&amp;B29,Transactions!$C:$C,"Transfer")</f>
        <v>0</v>
      </c>
      <c r="F29" s="41">
        <f t="shared" si="2"/>
        <v>0</v>
      </c>
    </row>
    <row r="30" ht="15.75" customHeight="1">
      <c r="A30" s="38">
        <f t="shared" si="3"/>
        <v>46195</v>
      </c>
      <c r="B30" s="38">
        <f t="shared" si="1"/>
        <v>46201</v>
      </c>
      <c r="C30" s="41">
        <f>SUMIFS(Transactions!$D:$D,Transactions!$B:$B,"&gt;="&amp;A30,Transactions!$B:$B,"&lt;="&amp;B30,Transactions!$C:$C,"Expense")
+SUMIFS(Transactions!$E:$E,Transactions!$B:$B,"&gt;="&amp;A30,Transactions!$B:$B,"&lt;="&amp;B30,Transactions!$C:$C,"Expense")</f>
        <v>210</v>
      </c>
      <c r="D30" s="41">
        <f>SUMIFS(Transactions!$D:$D,Transactions!$B:$B,"&gt;="&amp;A30,Transactions!$B:$B,"&lt;="&amp;B30,Transactions!$C:$C,"Income")</f>
        <v>31042.47</v>
      </c>
      <c r="E30" s="41">
        <f>SUMIFS(Transactions!$D:$D,Transactions!$B:$B,"&gt;="&amp;A30,Transactions!$B:$B,"&lt;="&amp;B30,Transactions!$C:$C,"Transfer")</f>
        <v>0</v>
      </c>
      <c r="F30" s="41">
        <f t="shared" si="2"/>
        <v>30832.47</v>
      </c>
    </row>
    <row r="31" ht="15.75" customHeight="1">
      <c r="A31" s="38">
        <f t="shared" si="3"/>
        <v>46202</v>
      </c>
      <c r="B31" s="38">
        <f t="shared" si="1"/>
        <v>46208</v>
      </c>
      <c r="C31" s="41">
        <f>SUMIFS(Transactions!$D:$D,Transactions!$B:$B,"&gt;="&amp;A31,Transactions!$B:$B,"&lt;="&amp;B31,Transactions!$C:$C,"Expense")
+SUMIFS(Transactions!$E:$E,Transactions!$B:$B,"&gt;="&amp;A31,Transactions!$B:$B,"&lt;="&amp;B31,Transactions!$C:$C,"Expense")</f>
        <v>12302</v>
      </c>
      <c r="D31" s="41">
        <f>SUMIFS(Transactions!$D:$D,Transactions!$B:$B,"&gt;="&amp;A31,Transactions!$B:$B,"&lt;="&amp;B31,Transactions!$C:$C,"Income")</f>
        <v>0</v>
      </c>
      <c r="E31" s="41">
        <f>SUMIFS(Transactions!$D:$D,Transactions!$B:$B,"&gt;="&amp;A31,Transactions!$B:$B,"&lt;="&amp;B31,Transactions!$C:$C,"Transfer")</f>
        <v>10611</v>
      </c>
      <c r="F31" s="41">
        <f t="shared" si="2"/>
        <v>-12302</v>
      </c>
    </row>
    <row r="32" ht="15.75" customHeight="1">
      <c r="A32" s="38">
        <f t="shared" si="3"/>
        <v>46209</v>
      </c>
      <c r="B32" s="38">
        <f t="shared" si="1"/>
        <v>46215</v>
      </c>
      <c r="C32" s="41">
        <f>SUMIFS(Transactions!$D:$D,Transactions!$B:$B,"&gt;="&amp;A32,Transactions!$B:$B,"&lt;="&amp;B32,Transactions!$C:$C,"Expense")
+SUMIFS(Transactions!$E:$E,Transactions!$B:$B,"&gt;="&amp;A32,Transactions!$B:$B,"&lt;="&amp;B32,Transactions!$C:$C,"Expense")</f>
        <v>0</v>
      </c>
      <c r="D32" s="41">
        <f>SUMIFS(Transactions!$D:$D,Transactions!$B:$B,"&gt;="&amp;A32,Transactions!$B:$B,"&lt;="&amp;B32,Transactions!$C:$C,"Income")</f>
        <v>0</v>
      </c>
      <c r="E32" s="41">
        <f>SUMIFS(Transactions!$D:$D,Transactions!$B:$B,"&gt;="&amp;A32,Transactions!$B:$B,"&lt;="&amp;B32,Transactions!$C:$C,"Transfer")</f>
        <v>0</v>
      </c>
      <c r="F32" s="41">
        <f t="shared" si="2"/>
        <v>0</v>
      </c>
    </row>
    <row r="33" ht="15.75" customHeight="1">
      <c r="A33" s="38">
        <f t="shared" si="3"/>
        <v>46216</v>
      </c>
      <c r="B33" s="38">
        <f t="shared" si="1"/>
        <v>46222</v>
      </c>
      <c r="C33" s="41">
        <f>SUMIFS(Transactions!$D:$D,Transactions!$B:$B,"&gt;="&amp;A33,Transactions!$B:$B,"&lt;="&amp;B33,Transactions!$C:$C,"Expense")
+SUMIFS(Transactions!$E:$E,Transactions!$B:$B,"&gt;="&amp;A33,Transactions!$B:$B,"&lt;="&amp;B33,Transactions!$C:$C,"Expense")</f>
        <v>0</v>
      </c>
      <c r="D33" s="41">
        <f>SUMIFS(Transactions!$D:$D,Transactions!$B:$B,"&gt;="&amp;A33,Transactions!$B:$B,"&lt;="&amp;B33,Transactions!$C:$C,"Income")</f>
        <v>0</v>
      </c>
      <c r="E33" s="41">
        <f>SUMIFS(Transactions!$D:$D,Transactions!$B:$B,"&gt;="&amp;A33,Transactions!$B:$B,"&lt;="&amp;B33,Transactions!$C:$C,"Transfer")</f>
        <v>0</v>
      </c>
      <c r="F33" s="41">
        <f t="shared" si="2"/>
        <v>0</v>
      </c>
    </row>
    <row r="34" ht="15.75" customHeight="1">
      <c r="A34" s="38">
        <f t="shared" si="3"/>
        <v>46223</v>
      </c>
      <c r="B34" s="38">
        <f t="shared" si="1"/>
        <v>46229</v>
      </c>
      <c r="C34" s="41">
        <f>SUMIFS(Transactions!$D:$D,Transactions!$B:$B,"&gt;="&amp;A34,Transactions!$B:$B,"&lt;="&amp;B34,Transactions!$C:$C,"Expense")
+SUMIFS(Transactions!$E:$E,Transactions!$B:$B,"&gt;="&amp;A34,Transactions!$B:$B,"&lt;="&amp;B34,Transactions!$C:$C,"Expense")</f>
        <v>0</v>
      </c>
      <c r="D34" s="41">
        <f>SUMIFS(Transactions!$D:$D,Transactions!$B:$B,"&gt;="&amp;A34,Transactions!$B:$B,"&lt;="&amp;B34,Transactions!$C:$C,"Income")</f>
        <v>0</v>
      </c>
      <c r="E34" s="41">
        <f>SUMIFS(Transactions!$D:$D,Transactions!$B:$B,"&gt;="&amp;A34,Transactions!$B:$B,"&lt;="&amp;B34,Transactions!$C:$C,"Transfer")</f>
        <v>0</v>
      </c>
      <c r="F34" s="41">
        <f t="shared" si="2"/>
        <v>0</v>
      </c>
    </row>
    <row r="35" ht="15.75" customHeight="1">
      <c r="A35" s="38">
        <f t="shared" si="3"/>
        <v>46230</v>
      </c>
      <c r="B35" s="38">
        <f t="shared" si="1"/>
        <v>46236</v>
      </c>
      <c r="C35" s="41">
        <f>SUMIFS(Transactions!$D:$D,Transactions!$B:$B,"&gt;="&amp;A35,Transactions!$B:$B,"&lt;="&amp;B35,Transactions!$C:$C,"Expense")
+SUMIFS(Transactions!$E:$E,Transactions!$B:$B,"&gt;="&amp;A35,Transactions!$B:$B,"&lt;="&amp;B35,Transactions!$C:$C,"Expense")</f>
        <v>0</v>
      </c>
      <c r="D35" s="41">
        <f>SUMIFS(Transactions!$D:$D,Transactions!$B:$B,"&gt;="&amp;A35,Transactions!$B:$B,"&lt;="&amp;B35,Transactions!$C:$C,"Income")</f>
        <v>0</v>
      </c>
      <c r="E35" s="41">
        <f>SUMIFS(Transactions!$D:$D,Transactions!$B:$B,"&gt;="&amp;A35,Transactions!$B:$B,"&lt;="&amp;B35,Transactions!$C:$C,"Transfer")</f>
        <v>0</v>
      </c>
      <c r="F35" s="41">
        <f t="shared" si="2"/>
        <v>0</v>
      </c>
    </row>
    <row r="36" ht="15.75" customHeight="1">
      <c r="A36" s="38">
        <f t="shared" si="3"/>
        <v>46237</v>
      </c>
      <c r="B36" s="38">
        <f t="shared" si="1"/>
        <v>46243</v>
      </c>
      <c r="C36" s="41">
        <f>SUMIFS(Transactions!$D:$D,Transactions!$B:$B,"&gt;="&amp;A36,Transactions!$B:$B,"&lt;="&amp;B36,Transactions!$C:$C,"Expense")
+SUMIFS(Transactions!$E:$E,Transactions!$B:$B,"&gt;="&amp;A36,Transactions!$B:$B,"&lt;="&amp;B36,Transactions!$C:$C,"Expense")</f>
        <v>0</v>
      </c>
      <c r="D36" s="41">
        <f>SUMIFS(Transactions!$D:$D,Transactions!$B:$B,"&gt;="&amp;A36,Transactions!$B:$B,"&lt;="&amp;B36,Transactions!$C:$C,"Income")</f>
        <v>0</v>
      </c>
      <c r="E36" s="41">
        <f>SUMIFS(Transactions!$D:$D,Transactions!$B:$B,"&gt;="&amp;A36,Transactions!$B:$B,"&lt;="&amp;B36,Transactions!$C:$C,"Transfer")</f>
        <v>0</v>
      </c>
      <c r="F36" s="41">
        <f t="shared" si="2"/>
        <v>0</v>
      </c>
    </row>
    <row r="37" ht="15.75" customHeight="1">
      <c r="A37" s="38">
        <f t="shared" si="3"/>
        <v>46244</v>
      </c>
      <c r="B37" s="38">
        <f t="shared" si="1"/>
        <v>46250</v>
      </c>
      <c r="C37" s="41">
        <f>SUMIFS(Transactions!$D:$D,Transactions!$B:$B,"&gt;="&amp;A37,Transactions!$B:$B,"&lt;="&amp;B37,Transactions!$C:$C,"Expense")
+SUMIFS(Transactions!$E:$E,Transactions!$B:$B,"&gt;="&amp;A37,Transactions!$B:$B,"&lt;="&amp;B37,Transactions!$C:$C,"Expense")</f>
        <v>0</v>
      </c>
      <c r="D37" s="41">
        <f>SUMIFS(Transactions!$D:$D,Transactions!$B:$B,"&gt;="&amp;A37,Transactions!$B:$B,"&lt;="&amp;B37,Transactions!$C:$C,"Income")</f>
        <v>0</v>
      </c>
      <c r="E37" s="41">
        <f>SUMIFS(Transactions!$D:$D,Transactions!$B:$B,"&gt;="&amp;A37,Transactions!$B:$B,"&lt;="&amp;B37,Transactions!$C:$C,"Transfer")</f>
        <v>0</v>
      </c>
      <c r="F37" s="41">
        <f t="shared" si="2"/>
        <v>0</v>
      </c>
    </row>
    <row r="38" ht="15.75" customHeight="1">
      <c r="A38" s="38">
        <f t="shared" si="3"/>
        <v>46251</v>
      </c>
      <c r="B38" s="38">
        <f t="shared" si="1"/>
        <v>46257</v>
      </c>
      <c r="C38" s="41">
        <f>SUMIFS(Transactions!$D:$D,Transactions!$B:$B,"&gt;="&amp;A38,Transactions!$B:$B,"&lt;="&amp;B38,Transactions!$C:$C,"Expense")
+SUMIFS(Transactions!$E:$E,Transactions!$B:$B,"&gt;="&amp;A38,Transactions!$B:$B,"&lt;="&amp;B38,Transactions!$C:$C,"Expense")</f>
        <v>0</v>
      </c>
      <c r="D38" s="41">
        <f>SUMIFS(Transactions!$D:$D,Transactions!$B:$B,"&gt;="&amp;A38,Transactions!$B:$B,"&lt;="&amp;B38,Transactions!$C:$C,"Income")</f>
        <v>0</v>
      </c>
      <c r="E38" s="41">
        <f>SUMIFS(Transactions!$D:$D,Transactions!$B:$B,"&gt;="&amp;A38,Transactions!$B:$B,"&lt;="&amp;B38,Transactions!$C:$C,"Transfer")</f>
        <v>0</v>
      </c>
      <c r="F38" s="41">
        <f t="shared" si="2"/>
        <v>0</v>
      </c>
    </row>
    <row r="39" ht="15.75" customHeight="1">
      <c r="A39" s="38">
        <f t="shared" si="3"/>
        <v>46258</v>
      </c>
      <c r="B39" s="38">
        <f t="shared" si="1"/>
        <v>46264</v>
      </c>
      <c r="C39" s="41">
        <f>SUMIFS(Transactions!$D:$D,Transactions!$B:$B,"&gt;="&amp;A39,Transactions!$B:$B,"&lt;="&amp;B39,Transactions!$C:$C,"Expense")
+SUMIFS(Transactions!$E:$E,Transactions!$B:$B,"&gt;="&amp;A39,Transactions!$B:$B,"&lt;="&amp;B39,Transactions!$C:$C,"Expense")</f>
        <v>0</v>
      </c>
      <c r="D39" s="41">
        <f>SUMIFS(Transactions!$D:$D,Transactions!$B:$B,"&gt;="&amp;A39,Transactions!$B:$B,"&lt;="&amp;B39,Transactions!$C:$C,"Income")</f>
        <v>0</v>
      </c>
      <c r="E39" s="41">
        <f>SUMIFS(Transactions!$D:$D,Transactions!$B:$B,"&gt;="&amp;A39,Transactions!$B:$B,"&lt;="&amp;B39,Transactions!$C:$C,"Transfer")</f>
        <v>0</v>
      </c>
      <c r="F39" s="41">
        <f t="shared" si="2"/>
        <v>0</v>
      </c>
    </row>
    <row r="40" ht="15.75" customHeight="1">
      <c r="A40" s="38">
        <f t="shared" si="3"/>
        <v>46265</v>
      </c>
      <c r="B40" s="38">
        <f t="shared" si="1"/>
        <v>46271</v>
      </c>
      <c r="C40" s="41">
        <f>SUMIFS(Transactions!$D:$D,Transactions!$B:$B,"&gt;="&amp;A40,Transactions!$B:$B,"&lt;="&amp;B40,Transactions!$C:$C,"Expense")
+SUMIFS(Transactions!$E:$E,Transactions!$B:$B,"&gt;="&amp;A40,Transactions!$B:$B,"&lt;="&amp;B40,Transactions!$C:$C,"Expense")</f>
        <v>0</v>
      </c>
      <c r="D40" s="41">
        <f>SUMIFS(Transactions!$D:$D,Transactions!$B:$B,"&gt;="&amp;A40,Transactions!$B:$B,"&lt;="&amp;B40,Transactions!$C:$C,"Income")</f>
        <v>0</v>
      </c>
      <c r="E40" s="41">
        <f>SUMIFS(Transactions!$D:$D,Transactions!$B:$B,"&gt;="&amp;A40,Transactions!$B:$B,"&lt;="&amp;B40,Transactions!$C:$C,"Transfer")</f>
        <v>0</v>
      </c>
      <c r="F40" s="41">
        <f t="shared" si="2"/>
        <v>0</v>
      </c>
    </row>
    <row r="41" ht="15.75" customHeight="1">
      <c r="A41" s="38">
        <f t="shared" si="3"/>
        <v>46272</v>
      </c>
      <c r="B41" s="38">
        <f t="shared" si="1"/>
        <v>46278</v>
      </c>
      <c r="C41" s="41">
        <f>SUMIFS(Transactions!$D:$D,Transactions!$B:$B,"&gt;="&amp;A41,Transactions!$B:$B,"&lt;="&amp;B41,Transactions!$C:$C,"Expense")
+SUMIFS(Transactions!$E:$E,Transactions!$B:$B,"&gt;="&amp;A41,Transactions!$B:$B,"&lt;="&amp;B41,Transactions!$C:$C,"Expense")</f>
        <v>0</v>
      </c>
      <c r="D41" s="41">
        <f>SUMIFS(Transactions!$D:$D,Transactions!$B:$B,"&gt;="&amp;A41,Transactions!$B:$B,"&lt;="&amp;B41,Transactions!$C:$C,"Income")</f>
        <v>0</v>
      </c>
      <c r="E41" s="41">
        <f>SUMIFS(Transactions!$D:$D,Transactions!$B:$B,"&gt;="&amp;A41,Transactions!$B:$B,"&lt;="&amp;B41,Transactions!$C:$C,"Transfer")</f>
        <v>0</v>
      </c>
      <c r="F41" s="41">
        <f t="shared" si="2"/>
        <v>0</v>
      </c>
    </row>
    <row r="42" ht="15.75" customHeight="1">
      <c r="A42" s="38">
        <f t="shared" si="3"/>
        <v>46279</v>
      </c>
      <c r="B42" s="38">
        <f t="shared" si="1"/>
        <v>46285</v>
      </c>
      <c r="C42" s="41">
        <f>SUMIFS(Transactions!$D:$D,Transactions!$B:$B,"&gt;="&amp;A42,Transactions!$B:$B,"&lt;="&amp;B42,Transactions!$C:$C,"Expense")
+SUMIFS(Transactions!$E:$E,Transactions!$B:$B,"&gt;="&amp;A42,Transactions!$B:$B,"&lt;="&amp;B42,Transactions!$C:$C,"Expense")</f>
        <v>0</v>
      </c>
      <c r="D42" s="41">
        <f>SUMIFS(Transactions!$D:$D,Transactions!$B:$B,"&gt;="&amp;A42,Transactions!$B:$B,"&lt;="&amp;B42,Transactions!$C:$C,"Income")</f>
        <v>0</v>
      </c>
      <c r="E42" s="41">
        <f>SUMIFS(Transactions!$D:$D,Transactions!$B:$B,"&gt;="&amp;A42,Transactions!$B:$B,"&lt;="&amp;B42,Transactions!$C:$C,"Transfer")</f>
        <v>0</v>
      </c>
      <c r="F42" s="41">
        <f t="shared" si="2"/>
        <v>0</v>
      </c>
    </row>
    <row r="43" ht="15.75" customHeight="1">
      <c r="A43" s="38">
        <f t="shared" si="3"/>
        <v>46286</v>
      </c>
      <c r="B43" s="38">
        <f t="shared" si="1"/>
        <v>46292</v>
      </c>
      <c r="C43" s="41">
        <f>SUMIFS(Transactions!$D:$D,Transactions!$B:$B,"&gt;="&amp;A43,Transactions!$B:$B,"&lt;="&amp;B43,Transactions!$C:$C,"Expense")
+SUMIFS(Transactions!$E:$E,Transactions!$B:$B,"&gt;="&amp;A43,Transactions!$B:$B,"&lt;="&amp;B43,Transactions!$C:$C,"Expense")</f>
        <v>0</v>
      </c>
      <c r="D43" s="41">
        <f>SUMIFS(Transactions!$D:$D,Transactions!$B:$B,"&gt;="&amp;A43,Transactions!$B:$B,"&lt;="&amp;B43,Transactions!$C:$C,"Income")</f>
        <v>0</v>
      </c>
      <c r="E43" s="41">
        <f>SUMIFS(Transactions!$D:$D,Transactions!$B:$B,"&gt;="&amp;A43,Transactions!$B:$B,"&lt;="&amp;B43,Transactions!$C:$C,"Transfer")</f>
        <v>0</v>
      </c>
      <c r="F43" s="41">
        <f t="shared" si="2"/>
        <v>0</v>
      </c>
    </row>
    <row r="44" ht="15.75" customHeight="1">
      <c r="A44" s="38">
        <f t="shared" si="3"/>
        <v>46293</v>
      </c>
      <c r="B44" s="38">
        <f t="shared" si="1"/>
        <v>46299</v>
      </c>
      <c r="C44" s="41">
        <f>SUMIFS(Transactions!$D:$D,Transactions!$B:$B,"&gt;="&amp;A44,Transactions!$B:$B,"&lt;="&amp;B44,Transactions!$C:$C,"Expense")
+SUMIFS(Transactions!$E:$E,Transactions!$B:$B,"&gt;="&amp;A44,Transactions!$B:$B,"&lt;="&amp;B44,Transactions!$C:$C,"Expense")</f>
        <v>0</v>
      </c>
      <c r="D44" s="41">
        <f>SUMIFS(Transactions!$D:$D,Transactions!$B:$B,"&gt;="&amp;A44,Transactions!$B:$B,"&lt;="&amp;B44,Transactions!$C:$C,"Income")</f>
        <v>0</v>
      </c>
      <c r="E44" s="41">
        <f>SUMIFS(Transactions!$D:$D,Transactions!$B:$B,"&gt;="&amp;A44,Transactions!$B:$B,"&lt;="&amp;B44,Transactions!$C:$C,"Transfer")</f>
        <v>0</v>
      </c>
      <c r="F44" s="41">
        <f t="shared" si="2"/>
        <v>0</v>
      </c>
    </row>
    <row r="45" ht="15.75" customHeight="1">
      <c r="A45" s="38">
        <f t="shared" si="3"/>
        <v>46300</v>
      </c>
      <c r="B45" s="38">
        <f t="shared" si="1"/>
        <v>46306</v>
      </c>
      <c r="C45" s="41">
        <f>SUMIFS(Transactions!$D:$D,Transactions!$B:$B,"&gt;="&amp;A45,Transactions!$B:$B,"&lt;="&amp;B45,Transactions!$C:$C,"Expense")
+SUMIFS(Transactions!$E:$E,Transactions!$B:$B,"&gt;="&amp;A45,Transactions!$B:$B,"&lt;="&amp;B45,Transactions!$C:$C,"Expense")</f>
        <v>0</v>
      </c>
      <c r="D45" s="41">
        <f>SUMIFS(Transactions!$D:$D,Transactions!$B:$B,"&gt;="&amp;A45,Transactions!$B:$B,"&lt;="&amp;B45,Transactions!$C:$C,"Income")</f>
        <v>0</v>
      </c>
      <c r="E45" s="41">
        <f>SUMIFS(Transactions!$D:$D,Transactions!$B:$B,"&gt;="&amp;A45,Transactions!$B:$B,"&lt;="&amp;B45,Transactions!$C:$C,"Transfer")</f>
        <v>0</v>
      </c>
      <c r="F45" s="41">
        <f t="shared" si="2"/>
        <v>0</v>
      </c>
    </row>
    <row r="46" ht="15.75" customHeight="1">
      <c r="A46" s="38">
        <f t="shared" si="3"/>
        <v>46307</v>
      </c>
      <c r="B46" s="38">
        <f t="shared" si="1"/>
        <v>46313</v>
      </c>
      <c r="C46" s="41">
        <f>SUMIFS(Transactions!$D:$D,Transactions!$B:$B,"&gt;="&amp;A46,Transactions!$B:$B,"&lt;="&amp;B46,Transactions!$C:$C,"Expense")
+SUMIFS(Transactions!$E:$E,Transactions!$B:$B,"&gt;="&amp;A46,Transactions!$B:$B,"&lt;="&amp;B46,Transactions!$C:$C,"Expense")</f>
        <v>0</v>
      </c>
      <c r="D46" s="41">
        <f>SUMIFS(Transactions!$D:$D,Transactions!$B:$B,"&gt;="&amp;A46,Transactions!$B:$B,"&lt;="&amp;B46,Transactions!$C:$C,"Income")</f>
        <v>0</v>
      </c>
      <c r="E46" s="41">
        <f>SUMIFS(Transactions!$D:$D,Transactions!$B:$B,"&gt;="&amp;A46,Transactions!$B:$B,"&lt;="&amp;B46,Transactions!$C:$C,"Transfer")</f>
        <v>0</v>
      </c>
      <c r="F46" s="41">
        <f t="shared" si="2"/>
        <v>0</v>
      </c>
    </row>
    <row r="47" ht="15.75" customHeight="1">
      <c r="A47" s="38">
        <f t="shared" si="3"/>
        <v>46314</v>
      </c>
      <c r="B47" s="38">
        <f t="shared" si="1"/>
        <v>46320</v>
      </c>
      <c r="C47" s="41">
        <f>SUMIFS(Transactions!$D:$D,Transactions!$B:$B,"&gt;="&amp;A47,Transactions!$B:$B,"&lt;="&amp;B47,Transactions!$C:$C,"Expense")
+SUMIFS(Transactions!$E:$E,Transactions!$B:$B,"&gt;="&amp;A47,Transactions!$B:$B,"&lt;="&amp;B47,Transactions!$C:$C,"Expense")</f>
        <v>0</v>
      </c>
      <c r="D47" s="41">
        <f>SUMIFS(Transactions!$D:$D,Transactions!$B:$B,"&gt;="&amp;A47,Transactions!$B:$B,"&lt;="&amp;B47,Transactions!$C:$C,"Income")</f>
        <v>0</v>
      </c>
      <c r="E47" s="41">
        <f>SUMIFS(Transactions!$D:$D,Transactions!$B:$B,"&gt;="&amp;A47,Transactions!$B:$B,"&lt;="&amp;B47,Transactions!$C:$C,"Transfer")</f>
        <v>0</v>
      </c>
      <c r="F47" s="41">
        <f t="shared" si="2"/>
        <v>0</v>
      </c>
    </row>
    <row r="48" ht="15.75" customHeight="1">
      <c r="A48" s="38">
        <f t="shared" si="3"/>
        <v>46321</v>
      </c>
      <c r="B48" s="38">
        <f t="shared" si="1"/>
        <v>46327</v>
      </c>
      <c r="C48" s="41">
        <f>SUMIFS(Transactions!$D:$D,Transactions!$B:$B,"&gt;="&amp;A48,Transactions!$B:$B,"&lt;="&amp;B48,Transactions!$C:$C,"Expense")
+SUMIFS(Transactions!$E:$E,Transactions!$B:$B,"&gt;="&amp;A48,Transactions!$B:$B,"&lt;="&amp;B48,Transactions!$C:$C,"Expense")</f>
        <v>0</v>
      </c>
      <c r="D48" s="41">
        <f>SUMIFS(Transactions!$D:$D,Transactions!$B:$B,"&gt;="&amp;A48,Transactions!$B:$B,"&lt;="&amp;B48,Transactions!$C:$C,"Income")</f>
        <v>0</v>
      </c>
      <c r="E48" s="41">
        <f>SUMIFS(Transactions!$D:$D,Transactions!$B:$B,"&gt;="&amp;A48,Transactions!$B:$B,"&lt;="&amp;B48,Transactions!$C:$C,"Transfer")</f>
        <v>0</v>
      </c>
      <c r="F48" s="41">
        <f t="shared" si="2"/>
        <v>0</v>
      </c>
    </row>
    <row r="49" ht="15.75" customHeight="1">
      <c r="A49" s="38">
        <f t="shared" si="3"/>
        <v>46328</v>
      </c>
      <c r="B49" s="38">
        <f t="shared" si="1"/>
        <v>46334</v>
      </c>
      <c r="C49" s="41">
        <f>SUMIFS(Transactions!$D:$D,Transactions!$B:$B,"&gt;="&amp;A49,Transactions!$B:$B,"&lt;="&amp;B49,Transactions!$C:$C,"Expense")
+SUMIFS(Transactions!$E:$E,Transactions!$B:$B,"&gt;="&amp;A49,Transactions!$B:$B,"&lt;="&amp;B49,Transactions!$C:$C,"Expense")</f>
        <v>0</v>
      </c>
      <c r="D49" s="41">
        <f>SUMIFS(Transactions!$D:$D,Transactions!$B:$B,"&gt;="&amp;A49,Transactions!$B:$B,"&lt;="&amp;B49,Transactions!$C:$C,"Income")</f>
        <v>0</v>
      </c>
      <c r="E49" s="41">
        <f>SUMIFS(Transactions!$D:$D,Transactions!$B:$B,"&gt;="&amp;A49,Transactions!$B:$B,"&lt;="&amp;B49,Transactions!$C:$C,"Transfer")</f>
        <v>0</v>
      </c>
      <c r="F49" s="41">
        <f t="shared" si="2"/>
        <v>0</v>
      </c>
    </row>
    <row r="50" ht="15.75" customHeight="1">
      <c r="A50" s="38">
        <f t="shared" si="3"/>
        <v>46335</v>
      </c>
      <c r="B50" s="38">
        <f t="shared" si="1"/>
        <v>46341</v>
      </c>
      <c r="C50" s="41">
        <f>SUMIFS(Transactions!$D:$D,Transactions!$B:$B,"&gt;="&amp;A50,Transactions!$B:$B,"&lt;="&amp;B50,Transactions!$C:$C,"Expense")
+SUMIFS(Transactions!$E:$E,Transactions!$B:$B,"&gt;="&amp;A50,Transactions!$B:$B,"&lt;="&amp;B50,Transactions!$C:$C,"Expense")</f>
        <v>0</v>
      </c>
      <c r="D50" s="41">
        <f>SUMIFS(Transactions!$D:$D,Transactions!$B:$B,"&gt;="&amp;A50,Transactions!$B:$B,"&lt;="&amp;B50,Transactions!$C:$C,"Income")</f>
        <v>0</v>
      </c>
      <c r="E50" s="41">
        <f>SUMIFS(Transactions!$D:$D,Transactions!$B:$B,"&gt;="&amp;A50,Transactions!$B:$B,"&lt;="&amp;B50,Transactions!$C:$C,"Transfer")</f>
        <v>0</v>
      </c>
      <c r="F50" s="41">
        <f t="shared" si="2"/>
        <v>0</v>
      </c>
    </row>
    <row r="51" ht="15.75" customHeight="1">
      <c r="A51" s="38">
        <f t="shared" si="3"/>
        <v>46342</v>
      </c>
      <c r="B51" s="38">
        <f t="shared" si="1"/>
        <v>46348</v>
      </c>
      <c r="C51" s="41">
        <f>SUMIFS(Transactions!$D:$D,Transactions!$B:$B,"&gt;="&amp;A51,Transactions!$B:$B,"&lt;="&amp;B51,Transactions!$C:$C,"Expense")
+SUMIFS(Transactions!$E:$E,Transactions!$B:$B,"&gt;="&amp;A51,Transactions!$B:$B,"&lt;="&amp;B51,Transactions!$C:$C,"Expense")</f>
        <v>0</v>
      </c>
      <c r="D51" s="41">
        <f>SUMIFS(Transactions!$D:$D,Transactions!$B:$B,"&gt;="&amp;A51,Transactions!$B:$B,"&lt;="&amp;B51,Transactions!$C:$C,"Income")</f>
        <v>0</v>
      </c>
      <c r="E51" s="41">
        <f>SUMIFS(Transactions!$D:$D,Transactions!$B:$B,"&gt;="&amp;A51,Transactions!$B:$B,"&lt;="&amp;B51,Transactions!$C:$C,"Transfer")</f>
        <v>0</v>
      </c>
      <c r="F51" s="41">
        <f t="shared" si="2"/>
        <v>0</v>
      </c>
    </row>
    <row r="52" ht="15.75" customHeight="1">
      <c r="A52" s="38">
        <f t="shared" si="3"/>
        <v>46349</v>
      </c>
      <c r="B52" s="38">
        <f t="shared" si="1"/>
        <v>46355</v>
      </c>
      <c r="C52" s="41">
        <f>SUMIFS(Transactions!$D:$D,Transactions!$B:$B,"&gt;="&amp;A52,Transactions!$B:$B,"&lt;="&amp;B52,Transactions!$C:$C,"Expense")
+SUMIFS(Transactions!$E:$E,Transactions!$B:$B,"&gt;="&amp;A52,Transactions!$B:$B,"&lt;="&amp;B52,Transactions!$C:$C,"Expense")</f>
        <v>0</v>
      </c>
      <c r="D52" s="41">
        <f>SUMIFS(Transactions!$D:$D,Transactions!$B:$B,"&gt;="&amp;A52,Transactions!$B:$B,"&lt;="&amp;B52,Transactions!$C:$C,"Income")</f>
        <v>0</v>
      </c>
      <c r="E52" s="41">
        <f>SUMIFS(Transactions!$D:$D,Transactions!$B:$B,"&gt;="&amp;A52,Transactions!$B:$B,"&lt;="&amp;B52,Transactions!$C:$C,"Transfer")</f>
        <v>0</v>
      </c>
      <c r="F52" s="41">
        <f t="shared" si="2"/>
        <v>0</v>
      </c>
    </row>
    <row r="53" ht="15.75" customHeight="1">
      <c r="A53" s="38">
        <f t="shared" si="3"/>
        <v>46356</v>
      </c>
      <c r="B53" s="38">
        <f t="shared" si="1"/>
        <v>46362</v>
      </c>
      <c r="C53" s="41">
        <f>SUMIFS(Transactions!$D:$D,Transactions!$B:$B,"&gt;="&amp;A53,Transactions!$B:$B,"&lt;="&amp;B53,Transactions!$C:$C,"Expense")
+SUMIFS(Transactions!$E:$E,Transactions!$B:$B,"&gt;="&amp;A53,Transactions!$B:$B,"&lt;="&amp;B53,Transactions!$C:$C,"Expense")</f>
        <v>0</v>
      </c>
      <c r="D53" s="41">
        <f>SUMIFS(Transactions!$D:$D,Transactions!$B:$B,"&gt;="&amp;A53,Transactions!$B:$B,"&lt;="&amp;B53,Transactions!$C:$C,"Income")</f>
        <v>0</v>
      </c>
      <c r="E53" s="41">
        <f>SUMIFS(Transactions!$D:$D,Transactions!$B:$B,"&gt;="&amp;A53,Transactions!$B:$B,"&lt;="&amp;B53,Transactions!$C:$C,"Transfer")</f>
        <v>0</v>
      </c>
      <c r="F53" s="41">
        <f t="shared" si="2"/>
        <v>0</v>
      </c>
    </row>
    <row r="54" ht="15.75" customHeight="1">
      <c r="A54" s="38">
        <f t="shared" si="3"/>
        <v>46363</v>
      </c>
      <c r="B54" s="38">
        <f t="shared" si="1"/>
        <v>46369</v>
      </c>
      <c r="C54" s="41">
        <f>SUMIFS(Transactions!$D:$D,Transactions!$B:$B,"&gt;="&amp;A54,Transactions!$B:$B,"&lt;="&amp;B54,Transactions!$C:$C,"Expense")
+SUMIFS(Transactions!$E:$E,Transactions!$B:$B,"&gt;="&amp;A54,Transactions!$B:$B,"&lt;="&amp;B54,Transactions!$C:$C,"Expense")</f>
        <v>0</v>
      </c>
      <c r="D54" s="41">
        <f>SUMIFS(Transactions!$D:$D,Transactions!$B:$B,"&gt;="&amp;A54,Transactions!$B:$B,"&lt;="&amp;B54,Transactions!$C:$C,"Income")</f>
        <v>0</v>
      </c>
      <c r="E54" s="41">
        <f>SUMIFS(Transactions!$D:$D,Transactions!$B:$B,"&gt;="&amp;A54,Transactions!$B:$B,"&lt;="&amp;B54,Transactions!$C:$C,"Transfer")</f>
        <v>0</v>
      </c>
      <c r="F54" s="41">
        <f t="shared" si="2"/>
        <v>0</v>
      </c>
    </row>
    <row r="55" ht="15.75" customHeight="1">
      <c r="A55" s="38">
        <f t="shared" si="3"/>
        <v>46370</v>
      </c>
      <c r="B55" s="38">
        <f t="shared" si="1"/>
        <v>46376</v>
      </c>
      <c r="C55" s="41">
        <f>SUMIFS(Transactions!$D:$D,Transactions!$B:$B,"&gt;="&amp;A55,Transactions!$B:$B,"&lt;="&amp;B55,Transactions!$C:$C,"Expense")
+SUMIFS(Transactions!$E:$E,Transactions!$B:$B,"&gt;="&amp;A55,Transactions!$B:$B,"&lt;="&amp;B55,Transactions!$C:$C,"Expense")</f>
        <v>0</v>
      </c>
      <c r="D55" s="41">
        <f>SUMIFS(Transactions!$D:$D,Transactions!$B:$B,"&gt;="&amp;A55,Transactions!$B:$B,"&lt;="&amp;B55,Transactions!$C:$C,"Income")</f>
        <v>0</v>
      </c>
      <c r="E55" s="41">
        <f>SUMIFS(Transactions!$D:$D,Transactions!$B:$B,"&gt;="&amp;A55,Transactions!$B:$B,"&lt;="&amp;B55,Transactions!$C:$C,"Transfer")</f>
        <v>0</v>
      </c>
      <c r="F55" s="41">
        <f t="shared" si="2"/>
        <v>0</v>
      </c>
    </row>
    <row r="56" ht="15.75" customHeight="1">
      <c r="A56" s="38">
        <f t="shared" si="3"/>
        <v>46377</v>
      </c>
      <c r="B56" s="38">
        <f t="shared" si="1"/>
        <v>46383</v>
      </c>
      <c r="C56" s="41">
        <f>SUMIFS(Transactions!$D:$D,Transactions!$B:$B,"&gt;="&amp;A56,Transactions!$B:$B,"&lt;="&amp;B56,Transactions!$C:$C,"Expense")
+SUMIFS(Transactions!$E:$E,Transactions!$B:$B,"&gt;="&amp;A56,Transactions!$B:$B,"&lt;="&amp;B56,Transactions!$C:$C,"Expense")</f>
        <v>0</v>
      </c>
      <c r="D56" s="41">
        <f>SUMIFS(Transactions!$D:$D,Transactions!$B:$B,"&gt;="&amp;A56,Transactions!$B:$B,"&lt;="&amp;B56,Transactions!$C:$C,"Income")</f>
        <v>0</v>
      </c>
      <c r="E56" s="41">
        <f>SUMIFS(Transactions!$D:$D,Transactions!$B:$B,"&gt;="&amp;A56,Transactions!$B:$B,"&lt;="&amp;B56,Transactions!$C:$C,"Transfer")</f>
        <v>0</v>
      </c>
      <c r="F56" s="41">
        <f t="shared" si="2"/>
        <v>0</v>
      </c>
    </row>
    <row r="57" ht="15.75" customHeight="1">
      <c r="A57" s="38">
        <f t="shared" si="3"/>
        <v>46384</v>
      </c>
      <c r="B57" s="38">
        <f t="shared" si="1"/>
        <v>46390</v>
      </c>
      <c r="C57" s="41">
        <f>SUMIFS(Transactions!$D:$D,Transactions!$B:$B,"&gt;="&amp;A57,Transactions!$B:$B,"&lt;="&amp;B57,Transactions!$C:$C,"Expense")
+SUMIFS(Transactions!$E:$E,Transactions!$B:$B,"&gt;="&amp;A57,Transactions!$B:$B,"&lt;="&amp;B57,Transactions!$C:$C,"Expense")</f>
        <v>0</v>
      </c>
      <c r="D57" s="41">
        <f>SUMIFS(Transactions!$D:$D,Transactions!$B:$B,"&gt;="&amp;A57,Transactions!$B:$B,"&lt;="&amp;B57,Transactions!$C:$C,"Income")</f>
        <v>0</v>
      </c>
      <c r="E57" s="41">
        <f>SUMIFS(Transactions!$D:$D,Transactions!$B:$B,"&gt;="&amp;A57,Transactions!$B:$B,"&lt;="&amp;B57,Transactions!$C:$C,"Transfer")</f>
        <v>0</v>
      </c>
      <c r="F57" s="41">
        <f t="shared" si="2"/>
        <v>0</v>
      </c>
    </row>
    <row r="58" ht="15.75" customHeight="1">
      <c r="A58" s="38">
        <f t="shared" si="3"/>
        <v>46391</v>
      </c>
      <c r="B58" s="38">
        <f t="shared" si="1"/>
        <v>46397</v>
      </c>
      <c r="C58" s="41">
        <f>SUMIFS(Transactions!$D:$D,Transactions!$B:$B,"&gt;="&amp;A58,Transactions!$B:$B,"&lt;="&amp;B58,Transactions!$C:$C,"Expense")
+SUMIFS(Transactions!$E:$E,Transactions!$B:$B,"&gt;="&amp;A58,Transactions!$B:$B,"&lt;="&amp;B58,Transactions!$C:$C,"Expense")</f>
        <v>0</v>
      </c>
      <c r="D58" s="41">
        <f>SUMIFS(Transactions!$D:$D,Transactions!$B:$B,"&gt;="&amp;A58,Transactions!$B:$B,"&lt;="&amp;B58,Transactions!$C:$C,"Income")</f>
        <v>0</v>
      </c>
      <c r="E58" s="41">
        <f>SUMIFS(Transactions!$D:$D,Transactions!$B:$B,"&gt;="&amp;A58,Transactions!$B:$B,"&lt;="&amp;B58,Transactions!$C:$C,"Transfer")</f>
        <v>0</v>
      </c>
      <c r="F58" s="41">
        <f t="shared" si="2"/>
        <v>0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2">
      <formula1>"2024,2025,2026,2027,2028,2029,2030"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7" width="18.0"/>
    <col customWidth="1" min="8" max="26" width="8.71"/>
  </cols>
  <sheetData>
    <row r="1">
      <c r="A1" s="33" t="s">
        <v>191</v>
      </c>
    </row>
    <row r="2">
      <c r="A2" s="34" t="s">
        <v>13</v>
      </c>
      <c r="B2" s="35">
        <v>2026.0</v>
      </c>
    </row>
    <row r="4">
      <c r="A4" s="36" t="s">
        <v>10</v>
      </c>
      <c r="B4" s="36" t="s">
        <v>179</v>
      </c>
      <c r="C4" s="36" t="s">
        <v>186</v>
      </c>
      <c r="D4" s="36" t="s">
        <v>183</v>
      </c>
      <c r="E4" s="36" t="s">
        <v>36</v>
      </c>
      <c r="F4" s="36" t="s">
        <v>184</v>
      </c>
      <c r="G4" s="36" t="s">
        <v>185</v>
      </c>
    </row>
    <row r="5">
      <c r="A5" s="42" t="s">
        <v>29</v>
      </c>
      <c r="B5" s="38">
        <f>DATE($B$2,1,1)</f>
        <v>46023</v>
      </c>
      <c r="C5" s="38">
        <f t="shared" ref="C5:C16" si="1">EOMONTH(B5,0)</f>
        <v>46053</v>
      </c>
      <c r="D5" s="41">
        <f>SUMIFS(Transactions!$D:$D,Transactions!$B:$B,"&gt;="&amp;B5,Transactions!$B:$B,"&lt;="&amp;C5,Transactions!$C:$C,"Expense")
+SUMIFS(Transactions!$E:$E,Transactions!$B:$B,"&gt;="&amp;B5,Transactions!$B:$B,"&lt;="&amp;C5,Transactions!$C:$C,"Expense")</f>
        <v>0</v>
      </c>
      <c r="E5" s="41">
        <f>SUMIFS(Transactions!$D:$D,Transactions!$B:$B,"&gt;="&amp;B5,Transactions!$B:$B,"&lt;="&amp;C5,Transactions!$C:$C,"Income")</f>
        <v>0</v>
      </c>
      <c r="F5" s="41">
        <f>SUMIFS(Transactions!$D:$D,Transactions!$B:$B,"&gt;="&amp;B5,Transactions!$B:$B,"&lt;="&amp;C5,Transactions!$C:$C,"Transfer")</f>
        <v>0</v>
      </c>
      <c r="G5" s="41">
        <f t="shared" ref="G5:G16" si="2">E5-D5</f>
        <v>0</v>
      </c>
    </row>
    <row r="6">
      <c r="A6" s="42" t="s">
        <v>37</v>
      </c>
      <c r="B6" s="38">
        <f>DATE($B$2,2,1)</f>
        <v>46054</v>
      </c>
      <c r="C6" s="38">
        <f t="shared" si="1"/>
        <v>46081</v>
      </c>
      <c r="D6" s="41">
        <f>SUMIFS(Transactions!$D:$D,Transactions!$B:$B,"&gt;="&amp;B6,Transactions!$B:$B,"&lt;="&amp;C6,Transactions!$C:$C,"Expense")
+SUMIFS(Transactions!$E:$E,Transactions!$B:$B,"&gt;="&amp;B6,Transactions!$B:$B,"&lt;="&amp;C6,Transactions!$C:$C,"Expense")</f>
        <v>0</v>
      </c>
      <c r="E6" s="41">
        <f>SUMIFS(Transactions!$D:$D,Transactions!$B:$B,"&gt;="&amp;B6,Transactions!$B:$B,"&lt;="&amp;C6,Transactions!$C:$C,"Income")</f>
        <v>0</v>
      </c>
      <c r="F6" s="41">
        <f>SUMIFS(Transactions!$D:$D,Transactions!$B:$B,"&gt;="&amp;B6,Transactions!$B:$B,"&lt;="&amp;C6,Transactions!$C:$C,"Transfer")</f>
        <v>0</v>
      </c>
      <c r="G6" s="41">
        <f t="shared" si="2"/>
        <v>0</v>
      </c>
    </row>
    <row r="7">
      <c r="A7" s="42" t="s">
        <v>48</v>
      </c>
      <c r="B7" s="38">
        <f>DATE($B$2,3,1)</f>
        <v>46082</v>
      </c>
      <c r="C7" s="38">
        <f t="shared" si="1"/>
        <v>46112</v>
      </c>
      <c r="D7" s="41">
        <f>SUMIFS(Transactions!$D:$D,Transactions!$B:$B,"&gt;="&amp;B7,Transactions!$B:$B,"&lt;="&amp;C7,Transactions!$C:$C,"Expense")
+SUMIFS(Transactions!$E:$E,Transactions!$B:$B,"&gt;="&amp;B7,Transactions!$B:$B,"&lt;="&amp;C7,Transactions!$C:$C,"Expense")</f>
        <v>0</v>
      </c>
      <c r="E7" s="41">
        <f>SUMIFS(Transactions!$D:$D,Transactions!$B:$B,"&gt;="&amp;B7,Transactions!$B:$B,"&lt;="&amp;C7,Transactions!$C:$C,"Income")</f>
        <v>0</v>
      </c>
      <c r="F7" s="41">
        <f>SUMIFS(Transactions!$D:$D,Transactions!$B:$B,"&gt;="&amp;B7,Transactions!$B:$B,"&lt;="&amp;C7,Transactions!$C:$C,"Transfer")</f>
        <v>0</v>
      </c>
      <c r="G7" s="41">
        <f t="shared" si="2"/>
        <v>0</v>
      </c>
    </row>
    <row r="8">
      <c r="A8" s="42" t="s">
        <v>56</v>
      </c>
      <c r="B8" s="38">
        <f>DATE($B$2,4,1)</f>
        <v>46113</v>
      </c>
      <c r="C8" s="38">
        <f t="shared" si="1"/>
        <v>46142</v>
      </c>
      <c r="D8" s="41">
        <f>SUMIFS(Transactions!$D:$D,Transactions!$B:$B,"&gt;="&amp;B8,Transactions!$B:$B,"&lt;="&amp;C8,Transactions!$C:$C,"Expense")
+SUMIFS(Transactions!$E:$E,Transactions!$B:$B,"&gt;="&amp;B8,Transactions!$B:$B,"&lt;="&amp;C8,Transactions!$C:$C,"Expense")</f>
        <v>0</v>
      </c>
      <c r="E8" s="41">
        <f>SUMIFS(Transactions!$D:$D,Transactions!$B:$B,"&gt;="&amp;B8,Transactions!$B:$B,"&lt;="&amp;C8,Transactions!$C:$C,"Income")</f>
        <v>0</v>
      </c>
      <c r="F8" s="41">
        <f>SUMIFS(Transactions!$D:$D,Transactions!$B:$B,"&gt;="&amp;B8,Transactions!$B:$B,"&lt;="&amp;C8,Transactions!$C:$C,"Transfer")</f>
        <v>0</v>
      </c>
      <c r="G8" s="41">
        <f t="shared" si="2"/>
        <v>0</v>
      </c>
    </row>
    <row r="9">
      <c r="A9" s="42" t="s">
        <v>65</v>
      </c>
      <c r="B9" s="38">
        <f>DATE($B$2,5,1)</f>
        <v>46143</v>
      </c>
      <c r="C9" s="38">
        <f t="shared" si="1"/>
        <v>46173</v>
      </c>
      <c r="D9" s="41">
        <f>SUMIFS(Transactions!$D:$D,Transactions!$B:$B,"&gt;="&amp;B9,Transactions!$B:$B,"&lt;="&amp;C9,Transactions!$C:$C,"Expense")
+SUMIFS(Transactions!$E:$E,Transactions!$B:$B,"&gt;="&amp;B9,Transactions!$B:$B,"&lt;="&amp;C9,Transactions!$C:$C,"Expense")</f>
        <v>36431</v>
      </c>
      <c r="E9" s="41">
        <f>SUMIFS(Transactions!$D:$D,Transactions!$B:$B,"&gt;="&amp;B9,Transactions!$B:$B,"&lt;="&amp;C9,Transactions!$C:$C,"Income")</f>
        <v>18847</v>
      </c>
      <c r="F9" s="41">
        <f>SUMIFS(Transactions!$D:$D,Transactions!$B:$B,"&gt;="&amp;B9,Transactions!$B:$B,"&lt;="&amp;C9,Transactions!$C:$C,"Transfer")</f>
        <v>0</v>
      </c>
      <c r="G9" s="41">
        <f t="shared" si="2"/>
        <v>-17584</v>
      </c>
    </row>
    <row r="10">
      <c r="A10" s="42" t="s">
        <v>71</v>
      </c>
      <c r="B10" s="38">
        <f>DATE($B$2,6,1)</f>
        <v>46174</v>
      </c>
      <c r="C10" s="38">
        <f t="shared" si="1"/>
        <v>46203</v>
      </c>
      <c r="D10" s="41">
        <f>SUMIFS(Transactions!$D:$D,Transactions!$B:$B,"&gt;="&amp;B10,Transactions!$B:$B,"&lt;="&amp;C10,Transactions!$C:$C,"Expense")
+SUMIFS(Transactions!$E:$E,Transactions!$B:$B,"&gt;="&amp;B10,Transactions!$B:$B,"&lt;="&amp;C10,Transactions!$C:$C,"Expense")</f>
        <v>12262</v>
      </c>
      <c r="E10" s="41">
        <f>SUMIFS(Transactions!$D:$D,Transactions!$B:$B,"&gt;="&amp;B10,Transactions!$B:$B,"&lt;="&amp;C10,Transactions!$C:$C,"Income")</f>
        <v>31042.47</v>
      </c>
      <c r="F10" s="41">
        <f>SUMIFS(Transactions!$D:$D,Transactions!$B:$B,"&gt;="&amp;B10,Transactions!$B:$B,"&lt;="&amp;C10,Transactions!$C:$C,"Transfer")</f>
        <v>10611</v>
      </c>
      <c r="G10" s="41">
        <f t="shared" si="2"/>
        <v>18780.47</v>
      </c>
    </row>
    <row r="11">
      <c r="A11" s="42" t="s">
        <v>76</v>
      </c>
      <c r="B11" s="38">
        <f>DATE($B$2,7,1)</f>
        <v>46204</v>
      </c>
      <c r="C11" s="38">
        <f t="shared" si="1"/>
        <v>46234</v>
      </c>
      <c r="D11" s="41">
        <f>SUMIFS(Transactions!$D:$D,Transactions!$B:$B,"&gt;="&amp;B11,Transactions!$B:$B,"&lt;="&amp;C11,Transactions!$C:$C,"Expense")
+SUMIFS(Transactions!$E:$E,Transactions!$B:$B,"&gt;="&amp;B11,Transactions!$B:$B,"&lt;="&amp;C11,Transactions!$C:$C,"Expense")</f>
        <v>250</v>
      </c>
      <c r="E11" s="41">
        <f>SUMIFS(Transactions!$D:$D,Transactions!$B:$B,"&gt;="&amp;B11,Transactions!$B:$B,"&lt;="&amp;C11,Transactions!$C:$C,"Income")</f>
        <v>0</v>
      </c>
      <c r="F11" s="41">
        <f>SUMIFS(Transactions!$D:$D,Transactions!$B:$B,"&gt;="&amp;B11,Transactions!$B:$B,"&lt;="&amp;C11,Transactions!$C:$C,"Transfer")</f>
        <v>0</v>
      </c>
      <c r="G11" s="41">
        <f t="shared" si="2"/>
        <v>-250</v>
      </c>
    </row>
    <row r="12">
      <c r="A12" s="42" t="s">
        <v>80</v>
      </c>
      <c r="B12" s="38">
        <f>DATE($B$2,8,1)</f>
        <v>46235</v>
      </c>
      <c r="C12" s="38">
        <f t="shared" si="1"/>
        <v>46265</v>
      </c>
      <c r="D12" s="41">
        <f>SUMIFS(Transactions!$D:$D,Transactions!$B:$B,"&gt;="&amp;B12,Transactions!$B:$B,"&lt;="&amp;C12,Transactions!$C:$C,"Expense")
+SUMIFS(Transactions!$E:$E,Transactions!$B:$B,"&gt;="&amp;B12,Transactions!$B:$B,"&lt;="&amp;C12,Transactions!$C:$C,"Expense")</f>
        <v>0</v>
      </c>
      <c r="E12" s="41">
        <f>SUMIFS(Transactions!$D:$D,Transactions!$B:$B,"&gt;="&amp;B12,Transactions!$B:$B,"&lt;="&amp;C12,Transactions!$C:$C,"Income")</f>
        <v>0</v>
      </c>
      <c r="F12" s="41">
        <f>SUMIFS(Transactions!$D:$D,Transactions!$B:$B,"&gt;="&amp;B12,Transactions!$B:$B,"&lt;="&amp;C12,Transactions!$C:$C,"Transfer")</f>
        <v>0</v>
      </c>
      <c r="G12" s="41">
        <f t="shared" si="2"/>
        <v>0</v>
      </c>
    </row>
    <row r="13">
      <c r="A13" s="42" t="s">
        <v>84</v>
      </c>
      <c r="B13" s="38">
        <f>DATE($B$2,9,1)</f>
        <v>46266</v>
      </c>
      <c r="C13" s="38">
        <f t="shared" si="1"/>
        <v>46295</v>
      </c>
      <c r="D13" s="41">
        <f>SUMIFS(Transactions!$D:$D,Transactions!$B:$B,"&gt;="&amp;B13,Transactions!$B:$B,"&lt;="&amp;C13,Transactions!$C:$C,"Expense")
+SUMIFS(Transactions!$E:$E,Transactions!$B:$B,"&gt;="&amp;B13,Transactions!$B:$B,"&lt;="&amp;C13,Transactions!$C:$C,"Expense")</f>
        <v>0</v>
      </c>
      <c r="E13" s="41">
        <f>SUMIFS(Transactions!$D:$D,Transactions!$B:$B,"&gt;="&amp;B13,Transactions!$B:$B,"&lt;="&amp;C13,Transactions!$C:$C,"Income")</f>
        <v>0</v>
      </c>
      <c r="F13" s="41">
        <f>SUMIFS(Transactions!$D:$D,Transactions!$B:$B,"&gt;="&amp;B13,Transactions!$B:$B,"&lt;="&amp;C13,Transactions!$C:$C,"Transfer")</f>
        <v>0</v>
      </c>
      <c r="G13" s="41">
        <f t="shared" si="2"/>
        <v>0</v>
      </c>
    </row>
    <row r="14">
      <c r="A14" s="42" t="s">
        <v>87</v>
      </c>
      <c r="B14" s="38">
        <f>DATE($B$2,10,1)</f>
        <v>46296</v>
      </c>
      <c r="C14" s="38">
        <f t="shared" si="1"/>
        <v>46326</v>
      </c>
      <c r="D14" s="41">
        <f>SUMIFS(Transactions!$D:$D,Transactions!$B:$B,"&gt;="&amp;B14,Transactions!$B:$B,"&lt;="&amp;C14,Transactions!$C:$C,"Expense")
+SUMIFS(Transactions!$E:$E,Transactions!$B:$B,"&gt;="&amp;B14,Transactions!$B:$B,"&lt;="&amp;C14,Transactions!$C:$C,"Expense")</f>
        <v>0</v>
      </c>
      <c r="E14" s="41">
        <f>SUMIFS(Transactions!$D:$D,Transactions!$B:$B,"&gt;="&amp;B14,Transactions!$B:$B,"&lt;="&amp;C14,Transactions!$C:$C,"Income")</f>
        <v>0</v>
      </c>
      <c r="F14" s="41">
        <f>SUMIFS(Transactions!$D:$D,Transactions!$B:$B,"&gt;="&amp;B14,Transactions!$B:$B,"&lt;="&amp;C14,Transactions!$C:$C,"Transfer")</f>
        <v>0</v>
      </c>
      <c r="G14" s="41">
        <f t="shared" si="2"/>
        <v>0</v>
      </c>
    </row>
    <row r="15">
      <c r="A15" s="42" t="s">
        <v>90</v>
      </c>
      <c r="B15" s="38">
        <f>DATE($B$2,11,1)</f>
        <v>46327</v>
      </c>
      <c r="C15" s="38">
        <f t="shared" si="1"/>
        <v>46356</v>
      </c>
      <c r="D15" s="41">
        <f>SUMIFS(Transactions!$D:$D,Transactions!$B:$B,"&gt;="&amp;B15,Transactions!$B:$B,"&lt;="&amp;C15,Transactions!$C:$C,"Expense")
+SUMIFS(Transactions!$E:$E,Transactions!$B:$B,"&gt;="&amp;B15,Transactions!$B:$B,"&lt;="&amp;C15,Transactions!$C:$C,"Expense")</f>
        <v>0</v>
      </c>
      <c r="E15" s="41">
        <f>SUMIFS(Transactions!$D:$D,Transactions!$B:$B,"&gt;="&amp;B15,Transactions!$B:$B,"&lt;="&amp;C15,Transactions!$C:$C,"Income")</f>
        <v>0</v>
      </c>
      <c r="F15" s="41">
        <f>SUMIFS(Transactions!$D:$D,Transactions!$B:$B,"&gt;="&amp;B15,Transactions!$B:$B,"&lt;="&amp;C15,Transactions!$C:$C,"Transfer")</f>
        <v>0</v>
      </c>
      <c r="G15" s="41">
        <f t="shared" si="2"/>
        <v>0</v>
      </c>
    </row>
    <row r="16">
      <c r="A16" s="42" t="s">
        <v>93</v>
      </c>
      <c r="B16" s="38">
        <f>DATE($B$2,12,1)</f>
        <v>46357</v>
      </c>
      <c r="C16" s="38">
        <f t="shared" si="1"/>
        <v>46387</v>
      </c>
      <c r="D16" s="41">
        <f>SUMIFS(Transactions!$D:$D,Transactions!$B:$B,"&gt;="&amp;B16,Transactions!$B:$B,"&lt;="&amp;C16,Transactions!$C:$C,"Expense")
+SUMIFS(Transactions!$E:$E,Transactions!$B:$B,"&gt;="&amp;B16,Transactions!$B:$B,"&lt;="&amp;C16,Transactions!$C:$C,"Expense")</f>
        <v>0</v>
      </c>
      <c r="E16" s="41">
        <f>SUMIFS(Transactions!$D:$D,Transactions!$B:$B,"&gt;="&amp;B16,Transactions!$B:$B,"&lt;="&amp;C16,Transactions!$C:$C,"Income")</f>
        <v>0</v>
      </c>
      <c r="F16" s="41">
        <f>SUMIFS(Transactions!$D:$D,Transactions!$B:$B,"&gt;="&amp;B16,Transactions!$B:$B,"&lt;="&amp;C16,Transactions!$C:$C,"Transfer")</f>
        <v>0</v>
      </c>
      <c r="G16" s="41">
        <f t="shared" si="2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2">
      <formula1>"2024,2025,2026,2027,2028,2029,2030"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7" width="18.0"/>
    <col customWidth="1" min="8" max="26" width="8.71"/>
  </cols>
  <sheetData>
    <row r="1">
      <c r="A1" s="33" t="s">
        <v>193</v>
      </c>
    </row>
    <row r="2">
      <c r="A2" s="34" t="s">
        <v>13</v>
      </c>
      <c r="B2" s="35">
        <v>2026.0</v>
      </c>
    </row>
    <row r="4">
      <c r="A4" s="36" t="s">
        <v>11</v>
      </c>
      <c r="B4" s="36" t="s">
        <v>179</v>
      </c>
      <c r="C4" s="36" t="s">
        <v>186</v>
      </c>
      <c r="D4" s="36" t="s">
        <v>183</v>
      </c>
      <c r="E4" s="36" t="s">
        <v>36</v>
      </c>
      <c r="F4" s="36" t="s">
        <v>184</v>
      </c>
      <c r="G4" s="36" t="s">
        <v>185</v>
      </c>
    </row>
    <row r="5">
      <c r="A5" s="42" t="s">
        <v>30</v>
      </c>
      <c r="B5" s="38">
        <f>DATE($B$2,1,1)</f>
        <v>46023</v>
      </c>
      <c r="C5" s="38">
        <f t="shared" ref="C5:C8" si="1">EOMONTH(B5,2)</f>
        <v>46112</v>
      </c>
      <c r="D5" s="41">
        <f>SUMIFS(Transactions!$D:$D,Transactions!$B:$B,"&gt;="&amp;B5,Transactions!$B:$B,"&lt;="&amp;C5,Transactions!$C:$C,"Expense")
+SUMIFS(Transactions!$E:$E,Transactions!$B:$B,"&gt;="&amp;B5,Transactions!$B:$B,"&lt;="&amp;C5,Transactions!$C:$C,"Expense")</f>
        <v>0</v>
      </c>
      <c r="E5" s="41">
        <f>SUMIFS(Transactions!$D:$D,Transactions!$B:$B,"&gt;="&amp;B5,Transactions!$B:$B,"&lt;="&amp;C5,Transactions!$C:$C,"Income")</f>
        <v>0</v>
      </c>
      <c r="F5" s="41">
        <f>SUMIFS(Transactions!$D:$D,Transactions!$B:$B,"&gt;="&amp;B5,Transactions!$B:$B,"&lt;="&amp;C5,Transactions!$C:$C,"Transfer")</f>
        <v>0</v>
      </c>
      <c r="G5" s="41">
        <f t="shared" ref="G5:G8" si="2">E5-D5</f>
        <v>0</v>
      </c>
    </row>
    <row r="6">
      <c r="A6" s="42" t="s">
        <v>38</v>
      </c>
      <c r="B6" s="38">
        <f>DATE($B$2,4,1)</f>
        <v>46113</v>
      </c>
      <c r="C6" s="38">
        <f t="shared" si="1"/>
        <v>46203</v>
      </c>
      <c r="D6" s="41">
        <f>SUMIFS(Transactions!$D:$D,Transactions!$B:$B,"&gt;="&amp;B6,Transactions!$B:$B,"&lt;="&amp;C6,Transactions!$C:$C,"Expense")
+SUMIFS(Transactions!$E:$E,Transactions!$B:$B,"&gt;="&amp;B6,Transactions!$B:$B,"&lt;="&amp;C6,Transactions!$C:$C,"Expense")</f>
        <v>48693</v>
      </c>
      <c r="E6" s="41">
        <f>SUMIFS(Transactions!$D:$D,Transactions!$B:$B,"&gt;="&amp;B6,Transactions!$B:$B,"&lt;="&amp;C6,Transactions!$C:$C,"Income")</f>
        <v>49889.47</v>
      </c>
      <c r="F6" s="41">
        <f>SUMIFS(Transactions!$D:$D,Transactions!$B:$B,"&gt;="&amp;B6,Transactions!$B:$B,"&lt;="&amp;C6,Transactions!$C:$C,"Transfer")</f>
        <v>10611</v>
      </c>
      <c r="G6" s="41">
        <f t="shared" si="2"/>
        <v>1196.47</v>
      </c>
    </row>
    <row r="7">
      <c r="A7" s="42" t="s">
        <v>49</v>
      </c>
      <c r="B7" s="38">
        <f>DATE($B$2,7,1)</f>
        <v>46204</v>
      </c>
      <c r="C7" s="38">
        <f t="shared" si="1"/>
        <v>46295</v>
      </c>
      <c r="D7" s="41">
        <f>SUMIFS(Transactions!$D:$D,Transactions!$B:$B,"&gt;="&amp;B7,Transactions!$B:$B,"&lt;="&amp;C7,Transactions!$C:$C,"Expense")
+SUMIFS(Transactions!$E:$E,Transactions!$B:$B,"&gt;="&amp;B7,Transactions!$B:$B,"&lt;="&amp;C7,Transactions!$C:$C,"Expense")</f>
        <v>250</v>
      </c>
      <c r="E7" s="41">
        <f>SUMIFS(Transactions!$D:$D,Transactions!$B:$B,"&gt;="&amp;B7,Transactions!$B:$B,"&lt;="&amp;C7,Transactions!$C:$C,"Income")</f>
        <v>0</v>
      </c>
      <c r="F7" s="41">
        <f>SUMIFS(Transactions!$D:$D,Transactions!$B:$B,"&gt;="&amp;B7,Transactions!$B:$B,"&lt;="&amp;C7,Transactions!$C:$C,"Transfer")</f>
        <v>0</v>
      </c>
      <c r="G7" s="41">
        <f t="shared" si="2"/>
        <v>-250</v>
      </c>
    </row>
    <row r="8">
      <c r="A8" s="42" t="s">
        <v>57</v>
      </c>
      <c r="B8" s="38">
        <f>DATE($B$2,10,1)</f>
        <v>46296</v>
      </c>
      <c r="C8" s="38">
        <f t="shared" si="1"/>
        <v>46387</v>
      </c>
      <c r="D8" s="41">
        <f>SUMIFS(Transactions!$D:$D,Transactions!$B:$B,"&gt;="&amp;B8,Transactions!$B:$B,"&lt;="&amp;C8,Transactions!$C:$C,"Expense")
+SUMIFS(Transactions!$E:$E,Transactions!$B:$B,"&gt;="&amp;B8,Transactions!$B:$B,"&lt;="&amp;C8,Transactions!$C:$C,"Expense")</f>
        <v>0</v>
      </c>
      <c r="E8" s="41">
        <f>SUMIFS(Transactions!$D:$D,Transactions!$B:$B,"&gt;="&amp;B8,Transactions!$B:$B,"&lt;="&amp;C8,Transactions!$C:$C,"Income")</f>
        <v>0</v>
      </c>
      <c r="F8" s="41">
        <f>SUMIFS(Transactions!$D:$D,Transactions!$B:$B,"&gt;="&amp;B8,Transactions!$B:$B,"&lt;="&amp;C8,Transactions!$C:$C,"Transfer")</f>
        <v>0</v>
      </c>
      <c r="G8" s="41">
        <f t="shared" si="2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2">
      <formula1>"2024,2025,2026,2027,2028,2029,2030"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7" width="18.0"/>
    <col customWidth="1" min="8" max="26" width="8.71"/>
  </cols>
  <sheetData>
    <row r="1">
      <c r="A1" s="33" t="s">
        <v>194</v>
      </c>
    </row>
    <row r="4">
      <c r="A4" s="36" t="s">
        <v>13</v>
      </c>
      <c r="B4" s="36" t="s">
        <v>179</v>
      </c>
      <c r="C4" s="36" t="s">
        <v>186</v>
      </c>
      <c r="D4" s="36" t="s">
        <v>183</v>
      </c>
      <c r="E4" s="36" t="s">
        <v>36</v>
      </c>
      <c r="F4" s="36" t="s">
        <v>184</v>
      </c>
      <c r="G4" s="36" t="s">
        <v>185</v>
      </c>
    </row>
    <row r="5">
      <c r="A5" s="42">
        <v>2024.0</v>
      </c>
      <c r="B5" s="38">
        <f t="shared" ref="B5:B11" si="1">DATE(A5,1,1)</f>
        <v>45292</v>
      </c>
      <c r="C5" s="38">
        <f t="shared" ref="C5:C11" si="2">DATE(A5,12,31)</f>
        <v>45657</v>
      </c>
      <c r="D5" s="41">
        <f>SUMIFS(Transactions!$D:$D,Transactions!$B:$B,"&gt;="&amp;B5,Transactions!$B:$B,"&lt;="&amp;C5,Transactions!$C:$C,"Expense")
+SUMIFS(Transactions!$E:$E,Transactions!$B:$B,"&gt;="&amp;B5,Transactions!$B:$B,"&lt;="&amp;C5,Transactions!$C:$C,"Expense")</f>
        <v>0</v>
      </c>
      <c r="E5" s="41">
        <f>SUMIFS(Transactions!$D:$D,Transactions!$B:$B,"&gt;="&amp;B5,Transactions!$B:$B,"&lt;="&amp;C5,Transactions!$C:$C,"Income")</f>
        <v>0</v>
      </c>
      <c r="F5" s="41">
        <f>SUMIFS(Transactions!$D:$D,Transactions!$B:$B,"&gt;="&amp;B5,Transactions!$B:$B,"&lt;="&amp;C5,Transactions!$C:$C,"Transfer")</f>
        <v>0</v>
      </c>
      <c r="G5" s="41">
        <f t="shared" ref="G5:G11" si="3">E5-D5</f>
        <v>0</v>
      </c>
    </row>
    <row r="6">
      <c r="A6" s="42">
        <v>2025.0</v>
      </c>
      <c r="B6" s="38">
        <f t="shared" si="1"/>
        <v>45658</v>
      </c>
      <c r="C6" s="38">
        <f t="shared" si="2"/>
        <v>46022</v>
      </c>
      <c r="D6" s="41">
        <f>SUMIFS(Transactions!$D:$D,Transactions!$B:$B,"&gt;="&amp;B6,Transactions!$B:$B,"&lt;="&amp;C6,Transactions!$C:$C,"Expense")
+SUMIFS(Transactions!$E:$E,Transactions!$B:$B,"&gt;="&amp;B6,Transactions!$B:$B,"&lt;="&amp;C6,Transactions!$C:$C,"Expense")</f>
        <v>0</v>
      </c>
      <c r="E6" s="41">
        <f>SUMIFS(Transactions!$D:$D,Transactions!$B:$B,"&gt;="&amp;B6,Transactions!$B:$B,"&lt;="&amp;C6,Transactions!$C:$C,"Income")</f>
        <v>0</v>
      </c>
      <c r="F6" s="41">
        <f>SUMIFS(Transactions!$D:$D,Transactions!$B:$B,"&gt;="&amp;B6,Transactions!$B:$B,"&lt;="&amp;C6,Transactions!$C:$C,"Transfer")</f>
        <v>0</v>
      </c>
      <c r="G6" s="41">
        <f t="shared" si="3"/>
        <v>0</v>
      </c>
    </row>
    <row r="7">
      <c r="A7" s="42">
        <v>2026.0</v>
      </c>
      <c r="B7" s="38">
        <f t="shared" si="1"/>
        <v>46023</v>
      </c>
      <c r="C7" s="38">
        <f t="shared" si="2"/>
        <v>46387</v>
      </c>
      <c r="D7" s="41">
        <f>SUMIFS(Transactions!$D:$D,Transactions!$B:$B,"&gt;="&amp;B7,Transactions!$B:$B,"&lt;="&amp;C7,Transactions!$C:$C,"Expense")
+SUMIFS(Transactions!$E:$E,Transactions!$B:$B,"&gt;="&amp;B7,Transactions!$B:$B,"&lt;="&amp;C7,Transactions!$C:$C,"Expense")</f>
        <v>48943</v>
      </c>
      <c r="E7" s="41">
        <f>SUMIFS(Transactions!$D:$D,Transactions!$B:$B,"&gt;="&amp;B7,Transactions!$B:$B,"&lt;="&amp;C7,Transactions!$C:$C,"Income")</f>
        <v>49889.47</v>
      </c>
      <c r="F7" s="41">
        <f>SUMIFS(Transactions!$D:$D,Transactions!$B:$B,"&gt;="&amp;B7,Transactions!$B:$B,"&lt;="&amp;C7,Transactions!$C:$C,"Transfer")</f>
        <v>10611</v>
      </c>
      <c r="G7" s="41">
        <f t="shared" si="3"/>
        <v>946.47</v>
      </c>
    </row>
    <row r="8">
      <c r="A8" s="42">
        <v>2027.0</v>
      </c>
      <c r="B8" s="38">
        <f t="shared" si="1"/>
        <v>46388</v>
      </c>
      <c r="C8" s="38">
        <f t="shared" si="2"/>
        <v>46752</v>
      </c>
      <c r="D8" s="41">
        <f>SUMIFS(Transactions!$D:$D,Transactions!$B:$B,"&gt;="&amp;B8,Transactions!$B:$B,"&lt;="&amp;C8,Transactions!$C:$C,"Expense")
+SUMIFS(Transactions!$E:$E,Transactions!$B:$B,"&gt;="&amp;B8,Transactions!$B:$B,"&lt;="&amp;C8,Transactions!$C:$C,"Expense")</f>
        <v>0</v>
      </c>
      <c r="E8" s="41">
        <f>SUMIFS(Transactions!$D:$D,Transactions!$B:$B,"&gt;="&amp;B8,Transactions!$B:$B,"&lt;="&amp;C8,Transactions!$C:$C,"Income")</f>
        <v>0</v>
      </c>
      <c r="F8" s="41">
        <f>SUMIFS(Transactions!$D:$D,Transactions!$B:$B,"&gt;="&amp;B8,Transactions!$B:$B,"&lt;="&amp;C8,Transactions!$C:$C,"Transfer")</f>
        <v>0</v>
      </c>
      <c r="G8" s="41">
        <f t="shared" si="3"/>
        <v>0</v>
      </c>
    </row>
    <row r="9">
      <c r="A9" s="42">
        <v>2028.0</v>
      </c>
      <c r="B9" s="38">
        <f t="shared" si="1"/>
        <v>46753</v>
      </c>
      <c r="C9" s="38">
        <f t="shared" si="2"/>
        <v>47118</v>
      </c>
      <c r="D9" s="41">
        <f>SUMIFS(Transactions!$D:$D,Transactions!$B:$B,"&gt;="&amp;B9,Transactions!$B:$B,"&lt;="&amp;C9,Transactions!$C:$C,"Expense")
+SUMIFS(Transactions!$E:$E,Transactions!$B:$B,"&gt;="&amp;B9,Transactions!$B:$B,"&lt;="&amp;C9,Transactions!$C:$C,"Expense")</f>
        <v>0</v>
      </c>
      <c r="E9" s="41">
        <f>SUMIFS(Transactions!$D:$D,Transactions!$B:$B,"&gt;="&amp;B9,Transactions!$B:$B,"&lt;="&amp;C9,Transactions!$C:$C,"Income")</f>
        <v>0</v>
      </c>
      <c r="F9" s="41">
        <f>SUMIFS(Transactions!$D:$D,Transactions!$B:$B,"&gt;="&amp;B9,Transactions!$B:$B,"&lt;="&amp;C9,Transactions!$C:$C,"Transfer")</f>
        <v>0</v>
      </c>
      <c r="G9" s="41">
        <f t="shared" si="3"/>
        <v>0</v>
      </c>
    </row>
    <row r="10">
      <c r="A10" s="42">
        <v>2029.0</v>
      </c>
      <c r="B10" s="38">
        <f t="shared" si="1"/>
        <v>47119</v>
      </c>
      <c r="C10" s="38">
        <f t="shared" si="2"/>
        <v>47483</v>
      </c>
      <c r="D10" s="41">
        <f>SUMIFS(Transactions!$D:$D,Transactions!$B:$B,"&gt;="&amp;B10,Transactions!$B:$B,"&lt;="&amp;C10,Transactions!$C:$C,"Expense")
+SUMIFS(Transactions!$E:$E,Transactions!$B:$B,"&gt;="&amp;B10,Transactions!$B:$B,"&lt;="&amp;C10,Transactions!$C:$C,"Expense")</f>
        <v>0</v>
      </c>
      <c r="E10" s="41">
        <f>SUMIFS(Transactions!$D:$D,Transactions!$B:$B,"&gt;="&amp;B10,Transactions!$B:$B,"&lt;="&amp;C10,Transactions!$C:$C,"Income")</f>
        <v>0</v>
      </c>
      <c r="F10" s="41">
        <f>SUMIFS(Transactions!$D:$D,Transactions!$B:$B,"&gt;="&amp;B10,Transactions!$B:$B,"&lt;="&amp;C10,Transactions!$C:$C,"Transfer")</f>
        <v>0</v>
      </c>
      <c r="G10" s="41">
        <f t="shared" si="3"/>
        <v>0</v>
      </c>
    </row>
    <row r="11">
      <c r="A11" s="42">
        <v>2030.0</v>
      </c>
      <c r="B11" s="38">
        <f t="shared" si="1"/>
        <v>47484</v>
      </c>
      <c r="C11" s="38">
        <f t="shared" si="2"/>
        <v>47848</v>
      </c>
      <c r="D11" s="41">
        <f>SUMIFS(Transactions!$D:$D,Transactions!$B:$B,"&gt;="&amp;B11,Transactions!$B:$B,"&lt;="&amp;C11,Transactions!$C:$C,"Expense")
+SUMIFS(Transactions!$E:$E,Transactions!$B:$B,"&gt;="&amp;B11,Transactions!$B:$B,"&lt;="&amp;C11,Transactions!$C:$C,"Expense")</f>
        <v>0</v>
      </c>
      <c r="E11" s="41">
        <f>SUMIFS(Transactions!$D:$D,Transactions!$B:$B,"&gt;="&amp;B11,Transactions!$B:$B,"&lt;="&amp;C11,Transactions!$C:$C,"Income")</f>
        <v>0</v>
      </c>
      <c r="F11" s="41">
        <f>SUMIFS(Transactions!$D:$D,Transactions!$B:$B,"&gt;="&amp;B11,Transactions!$B:$B,"&lt;="&amp;C11,Transactions!$C:$C,"Transfer")</f>
        <v>0</v>
      </c>
      <c r="G11" s="41">
        <f t="shared" si="3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5" t="s">
        <v>195</v>
      </c>
      <c r="B1" s="25" t="s">
        <v>196</v>
      </c>
      <c r="C1" s="25" t="s">
        <v>197</v>
      </c>
      <c r="D1" s="25" t="s">
        <v>198</v>
      </c>
      <c r="E1" s="25" t="s">
        <v>199</v>
      </c>
      <c r="F1" s="25" t="s">
        <v>200</v>
      </c>
      <c r="G1" s="25" t="s">
        <v>201</v>
      </c>
      <c r="H1" s="25" t="s">
        <v>202</v>
      </c>
      <c r="I1" s="25" t="s">
        <v>203</v>
      </c>
      <c r="J1" s="25" t="s">
        <v>204</v>
      </c>
      <c r="K1" s="25" t="s">
        <v>205</v>
      </c>
      <c r="M1" s="25" t="s">
        <v>206</v>
      </c>
      <c r="N1" s="25" t="s">
        <v>207</v>
      </c>
      <c r="O1" s="25" t="s">
        <v>208</v>
      </c>
      <c r="P1" s="25" t="s">
        <v>209</v>
      </c>
      <c r="Q1" s="25" t="s">
        <v>210</v>
      </c>
      <c r="R1" s="25" t="s">
        <v>211</v>
      </c>
      <c r="S1" s="25" t="s">
        <v>212</v>
      </c>
      <c r="T1" s="25" t="s">
        <v>213</v>
      </c>
      <c r="U1" s="25" t="s">
        <v>214</v>
      </c>
      <c r="V1" s="25" t="s">
        <v>215</v>
      </c>
      <c r="W1" s="25" t="s">
        <v>216</v>
      </c>
      <c r="X1" s="25" t="s">
        <v>217</v>
      </c>
      <c r="Y1" s="25" t="s">
        <v>218</v>
      </c>
      <c r="Z1" s="25" t="s">
        <v>219</v>
      </c>
    </row>
    <row r="2">
      <c r="A2" s="25" t="s">
        <v>18</v>
      </c>
      <c r="B2" s="25" t="s">
        <v>24</v>
      </c>
      <c r="C2" s="25" t="s">
        <v>46</v>
      </c>
      <c r="E2" s="25" t="s">
        <v>26</v>
      </c>
      <c r="F2" s="25" t="s">
        <v>220</v>
      </c>
      <c r="G2" s="25" t="s">
        <v>28</v>
      </c>
      <c r="H2" s="25" t="s">
        <v>29</v>
      </c>
      <c r="I2" s="25" t="s">
        <v>30</v>
      </c>
      <c r="J2" s="25" t="s">
        <v>221</v>
      </c>
      <c r="K2" s="43">
        <v>45292.0</v>
      </c>
      <c r="M2" s="25" t="s">
        <v>23</v>
      </c>
      <c r="N2" s="25" t="s">
        <v>61</v>
      </c>
      <c r="O2" s="25" t="s">
        <v>92</v>
      </c>
      <c r="P2" s="25" t="s">
        <v>104</v>
      </c>
      <c r="Q2" s="25" t="s">
        <v>115</v>
      </c>
      <c r="R2" s="25" t="s">
        <v>125</v>
      </c>
      <c r="S2" s="25" t="s">
        <v>152</v>
      </c>
      <c r="T2" s="25" t="s">
        <v>159</v>
      </c>
      <c r="U2" s="25" t="s">
        <v>156</v>
      </c>
      <c r="V2" s="25" t="s">
        <v>41</v>
      </c>
      <c r="W2" s="25" t="s">
        <v>44</v>
      </c>
      <c r="X2" s="25" t="s">
        <v>64</v>
      </c>
      <c r="Y2" s="25" t="s">
        <v>70</v>
      </c>
      <c r="Z2" s="25" t="s">
        <v>55</v>
      </c>
    </row>
    <row r="3">
      <c r="A3" s="25" t="s">
        <v>40</v>
      </c>
      <c r="B3" s="25" t="s">
        <v>43</v>
      </c>
      <c r="E3" s="25" t="s">
        <v>34</v>
      </c>
      <c r="F3" s="25" t="s">
        <v>222</v>
      </c>
      <c r="G3" s="25" t="s">
        <v>36</v>
      </c>
      <c r="H3" s="25" t="s">
        <v>37</v>
      </c>
      <c r="I3" s="25" t="s">
        <v>38</v>
      </c>
      <c r="K3" s="43">
        <v>45299.0</v>
      </c>
      <c r="M3" s="25" t="s">
        <v>32</v>
      </c>
      <c r="N3" s="25" t="s">
        <v>68</v>
      </c>
      <c r="O3" s="25" t="s">
        <v>94</v>
      </c>
      <c r="P3" s="25" t="s">
        <v>105</v>
      </c>
      <c r="Q3" s="25" t="s">
        <v>116</v>
      </c>
      <c r="R3" s="25" t="s">
        <v>126</v>
      </c>
      <c r="S3" s="25" t="s">
        <v>62</v>
      </c>
      <c r="T3" s="25" t="s">
        <v>161</v>
      </c>
      <c r="U3" s="25" t="s">
        <v>157</v>
      </c>
      <c r="V3" s="25" t="s">
        <v>60</v>
      </c>
      <c r="W3" s="25" t="s">
        <v>53</v>
      </c>
      <c r="Y3" s="25" t="s">
        <v>74</v>
      </c>
    </row>
    <row r="4">
      <c r="A4" s="25" t="s">
        <v>51</v>
      </c>
      <c r="B4" s="25" t="s">
        <v>62</v>
      </c>
      <c r="E4" s="25" t="s">
        <v>45</v>
      </c>
      <c r="F4" s="25" t="s">
        <v>35</v>
      </c>
      <c r="G4" s="25" t="s">
        <v>46</v>
      </c>
      <c r="H4" s="25" t="s">
        <v>48</v>
      </c>
      <c r="I4" s="25" t="s">
        <v>49</v>
      </c>
      <c r="K4" s="43">
        <v>45306.0</v>
      </c>
      <c r="M4" s="25" t="s">
        <v>42</v>
      </c>
      <c r="N4" s="25" t="s">
        <v>73</v>
      </c>
      <c r="O4" s="25" t="s">
        <v>96</v>
      </c>
      <c r="P4" s="25" t="s">
        <v>112</v>
      </c>
      <c r="Q4" s="25" t="s">
        <v>119</v>
      </c>
      <c r="R4" s="25" t="s">
        <v>129</v>
      </c>
      <c r="S4" s="25" t="s">
        <v>135</v>
      </c>
      <c r="T4" s="25" t="s">
        <v>162</v>
      </c>
      <c r="U4" s="25" t="s">
        <v>164</v>
      </c>
    </row>
    <row r="5">
      <c r="A5" s="25" t="s">
        <v>59</v>
      </c>
      <c r="B5" s="25" t="s">
        <v>69</v>
      </c>
      <c r="E5" s="25" t="s">
        <v>54</v>
      </c>
      <c r="F5" s="25" t="s">
        <v>26</v>
      </c>
      <c r="H5" s="25" t="s">
        <v>56</v>
      </c>
      <c r="I5" s="25" t="s">
        <v>57</v>
      </c>
      <c r="K5" s="43">
        <v>45313.0</v>
      </c>
      <c r="M5" s="25" t="s">
        <v>52</v>
      </c>
      <c r="N5" s="25" t="s">
        <v>78</v>
      </c>
      <c r="O5" s="25" t="s">
        <v>98</v>
      </c>
      <c r="P5" s="25" t="s">
        <v>113</v>
      </c>
      <c r="Q5" s="25" t="s">
        <v>121</v>
      </c>
      <c r="R5" s="25" t="s">
        <v>130</v>
      </c>
      <c r="S5" s="25" t="s">
        <v>158</v>
      </c>
    </row>
    <row r="6">
      <c r="A6" s="25" t="s">
        <v>67</v>
      </c>
      <c r="B6" s="25" t="s">
        <v>79</v>
      </c>
      <c r="E6" s="25" t="s">
        <v>55</v>
      </c>
      <c r="F6" s="25" t="s">
        <v>55</v>
      </c>
      <c r="H6" s="25" t="s">
        <v>65</v>
      </c>
      <c r="K6" s="43">
        <v>45320.0</v>
      </c>
      <c r="N6" s="25" t="s">
        <v>83</v>
      </c>
      <c r="O6" s="25" t="s">
        <v>101</v>
      </c>
    </row>
    <row r="7">
      <c r="A7" s="25" t="s">
        <v>72</v>
      </c>
      <c r="H7" s="25" t="s">
        <v>71</v>
      </c>
      <c r="K7" s="43">
        <v>45327.0</v>
      </c>
      <c r="O7" s="25" t="s">
        <v>102</v>
      </c>
    </row>
    <row r="8">
      <c r="A8" s="25" t="s">
        <v>77</v>
      </c>
      <c r="H8" s="25" t="s">
        <v>76</v>
      </c>
      <c r="K8" s="43">
        <v>45334.0</v>
      </c>
    </row>
    <row r="9">
      <c r="A9" s="25" t="s">
        <v>82</v>
      </c>
      <c r="H9" s="25" t="s">
        <v>80</v>
      </c>
      <c r="K9" s="43">
        <v>45341.0</v>
      </c>
    </row>
    <row r="10">
      <c r="A10" s="25" t="s">
        <v>55</v>
      </c>
      <c r="H10" s="25" t="s">
        <v>84</v>
      </c>
      <c r="K10" s="43">
        <v>45348.0</v>
      </c>
    </row>
    <row r="11">
      <c r="H11" s="25" t="s">
        <v>87</v>
      </c>
      <c r="K11" s="43">
        <v>45355.0</v>
      </c>
    </row>
    <row r="12">
      <c r="H12" s="25" t="s">
        <v>90</v>
      </c>
      <c r="K12" s="43">
        <v>45362.0</v>
      </c>
    </row>
    <row r="13">
      <c r="H13" s="25" t="s">
        <v>93</v>
      </c>
      <c r="K13" s="43">
        <v>45369.0</v>
      </c>
    </row>
    <row r="14">
      <c r="K14" s="43">
        <v>45376.0</v>
      </c>
    </row>
    <row r="15">
      <c r="K15" s="43">
        <v>45383.0</v>
      </c>
    </row>
    <row r="16">
      <c r="K16" s="43">
        <v>45390.0</v>
      </c>
    </row>
    <row r="17">
      <c r="K17" s="43">
        <v>45397.0</v>
      </c>
    </row>
    <row r="18">
      <c r="K18" s="43">
        <v>45404.0</v>
      </c>
    </row>
    <row r="19">
      <c r="K19" s="43">
        <v>45411.0</v>
      </c>
    </row>
    <row r="20">
      <c r="K20" s="43">
        <v>45418.0</v>
      </c>
    </row>
    <row r="21" ht="15.75" customHeight="1">
      <c r="K21" s="43">
        <v>45425.0</v>
      </c>
    </row>
    <row r="22" ht="15.75" customHeight="1">
      <c r="K22" s="43">
        <v>45432.0</v>
      </c>
    </row>
    <row r="23" ht="15.75" customHeight="1">
      <c r="K23" s="43">
        <v>45439.0</v>
      </c>
    </row>
    <row r="24" ht="15.75" customHeight="1">
      <c r="K24" s="43">
        <v>45446.0</v>
      </c>
    </row>
    <row r="25" ht="15.75" customHeight="1">
      <c r="K25" s="43">
        <v>45453.0</v>
      </c>
    </row>
    <row r="26" ht="15.75" customHeight="1">
      <c r="K26" s="43">
        <v>45460.0</v>
      </c>
    </row>
    <row r="27" ht="15.75" customHeight="1">
      <c r="K27" s="43">
        <v>45467.0</v>
      </c>
    </row>
    <row r="28" ht="15.75" customHeight="1">
      <c r="K28" s="43">
        <v>45474.0</v>
      </c>
    </row>
    <row r="29" ht="15.75" customHeight="1">
      <c r="K29" s="43">
        <v>45481.0</v>
      </c>
    </row>
    <row r="30" ht="15.75" customHeight="1">
      <c r="K30" s="43">
        <v>45488.0</v>
      </c>
    </row>
    <row r="31" ht="15.75" customHeight="1">
      <c r="K31" s="43">
        <v>45495.0</v>
      </c>
    </row>
    <row r="32" ht="15.75" customHeight="1">
      <c r="K32" s="43">
        <v>45502.0</v>
      </c>
    </row>
    <row r="33" ht="15.75" customHeight="1">
      <c r="K33" s="43">
        <v>45509.0</v>
      </c>
    </row>
    <row r="34" ht="15.75" customHeight="1">
      <c r="K34" s="43">
        <v>45516.0</v>
      </c>
    </row>
    <row r="35" ht="15.75" customHeight="1">
      <c r="K35" s="43">
        <v>45523.0</v>
      </c>
    </row>
    <row r="36" ht="15.75" customHeight="1">
      <c r="K36" s="43">
        <v>45530.0</v>
      </c>
    </row>
    <row r="37" ht="15.75" customHeight="1">
      <c r="K37" s="43">
        <v>45537.0</v>
      </c>
    </row>
    <row r="38" ht="15.75" customHeight="1">
      <c r="K38" s="43">
        <v>45544.0</v>
      </c>
    </row>
    <row r="39" ht="15.75" customHeight="1">
      <c r="K39" s="43">
        <v>45551.0</v>
      </c>
    </row>
    <row r="40" ht="15.75" customHeight="1">
      <c r="K40" s="43">
        <v>45558.0</v>
      </c>
    </row>
    <row r="41" ht="15.75" customHeight="1">
      <c r="K41" s="43">
        <v>45565.0</v>
      </c>
    </row>
    <row r="42" ht="15.75" customHeight="1">
      <c r="K42" s="43">
        <v>45572.0</v>
      </c>
    </row>
    <row r="43" ht="15.75" customHeight="1">
      <c r="K43" s="43">
        <v>45579.0</v>
      </c>
    </row>
    <row r="44" ht="15.75" customHeight="1">
      <c r="K44" s="43">
        <v>45586.0</v>
      </c>
    </row>
    <row r="45" ht="15.75" customHeight="1">
      <c r="K45" s="43">
        <v>45593.0</v>
      </c>
    </row>
    <row r="46" ht="15.75" customHeight="1">
      <c r="K46" s="43">
        <v>45600.0</v>
      </c>
    </row>
    <row r="47" ht="15.75" customHeight="1">
      <c r="K47" s="43">
        <v>45607.0</v>
      </c>
    </row>
    <row r="48" ht="15.75" customHeight="1">
      <c r="K48" s="43">
        <v>45614.0</v>
      </c>
    </row>
    <row r="49" ht="15.75" customHeight="1">
      <c r="K49" s="43">
        <v>45621.0</v>
      </c>
    </row>
    <row r="50" ht="15.75" customHeight="1">
      <c r="K50" s="43">
        <v>45628.0</v>
      </c>
    </row>
    <row r="51" ht="15.75" customHeight="1">
      <c r="K51" s="43">
        <v>45635.0</v>
      </c>
    </row>
    <row r="52" ht="15.75" customHeight="1">
      <c r="K52" s="43">
        <v>45642.0</v>
      </c>
    </row>
    <row r="53" ht="15.75" customHeight="1">
      <c r="K53" s="43">
        <v>45649.0</v>
      </c>
    </row>
    <row r="54" ht="15.75" customHeight="1">
      <c r="K54" s="43">
        <v>45656.0</v>
      </c>
    </row>
    <row r="55" ht="15.75" customHeight="1">
      <c r="K55" s="43">
        <v>45663.0</v>
      </c>
    </row>
    <row r="56" ht="15.75" customHeight="1">
      <c r="K56" s="43">
        <v>45670.0</v>
      </c>
    </row>
    <row r="57" ht="15.75" customHeight="1">
      <c r="K57" s="43">
        <v>45677.0</v>
      </c>
    </row>
    <row r="58" ht="15.75" customHeight="1">
      <c r="K58" s="43">
        <v>45684.0</v>
      </c>
    </row>
    <row r="59" ht="15.75" customHeight="1">
      <c r="K59" s="43">
        <v>45691.0</v>
      </c>
    </row>
    <row r="60" ht="15.75" customHeight="1">
      <c r="K60" s="43">
        <v>45698.0</v>
      </c>
    </row>
    <row r="61" ht="15.75" customHeight="1">
      <c r="K61" s="43">
        <v>45705.0</v>
      </c>
    </row>
    <row r="62" ht="15.75" customHeight="1">
      <c r="K62" s="43">
        <v>45712.0</v>
      </c>
    </row>
    <row r="63" ht="15.75" customHeight="1">
      <c r="K63" s="43">
        <v>45719.0</v>
      </c>
    </row>
    <row r="64" ht="15.75" customHeight="1">
      <c r="K64" s="43">
        <v>45726.0</v>
      </c>
    </row>
    <row r="65" ht="15.75" customHeight="1">
      <c r="K65" s="43">
        <v>45733.0</v>
      </c>
    </row>
    <row r="66" ht="15.75" customHeight="1">
      <c r="K66" s="43">
        <v>45740.0</v>
      </c>
    </row>
    <row r="67" ht="15.75" customHeight="1">
      <c r="K67" s="43">
        <v>45747.0</v>
      </c>
    </row>
    <row r="68" ht="15.75" customHeight="1">
      <c r="K68" s="43">
        <v>45754.0</v>
      </c>
    </row>
    <row r="69" ht="15.75" customHeight="1">
      <c r="K69" s="43">
        <v>45761.0</v>
      </c>
    </row>
    <row r="70" ht="15.75" customHeight="1">
      <c r="K70" s="43">
        <v>45768.0</v>
      </c>
    </row>
    <row r="71" ht="15.75" customHeight="1">
      <c r="K71" s="43">
        <v>45775.0</v>
      </c>
    </row>
    <row r="72" ht="15.75" customHeight="1">
      <c r="K72" s="43">
        <v>45782.0</v>
      </c>
    </row>
    <row r="73" ht="15.75" customHeight="1">
      <c r="K73" s="43">
        <v>45789.0</v>
      </c>
    </row>
    <row r="74" ht="15.75" customHeight="1">
      <c r="K74" s="43">
        <v>45796.0</v>
      </c>
    </row>
    <row r="75" ht="15.75" customHeight="1">
      <c r="K75" s="43">
        <v>45803.0</v>
      </c>
    </row>
    <row r="76" ht="15.75" customHeight="1">
      <c r="K76" s="43">
        <v>45810.0</v>
      </c>
    </row>
    <row r="77" ht="15.75" customHeight="1">
      <c r="K77" s="43">
        <v>45817.0</v>
      </c>
    </row>
    <row r="78" ht="15.75" customHeight="1">
      <c r="K78" s="43">
        <v>45824.0</v>
      </c>
    </row>
    <row r="79" ht="15.75" customHeight="1">
      <c r="K79" s="43">
        <v>45831.0</v>
      </c>
    </row>
    <row r="80" ht="15.75" customHeight="1">
      <c r="K80" s="43">
        <v>45838.0</v>
      </c>
    </row>
    <row r="81" ht="15.75" customHeight="1">
      <c r="K81" s="43">
        <v>45845.0</v>
      </c>
    </row>
    <row r="82" ht="15.75" customHeight="1">
      <c r="K82" s="43">
        <v>45852.0</v>
      </c>
    </row>
    <row r="83" ht="15.75" customHeight="1">
      <c r="K83" s="43">
        <v>45859.0</v>
      </c>
    </row>
    <row r="84" ht="15.75" customHeight="1">
      <c r="K84" s="43">
        <v>45866.0</v>
      </c>
    </row>
    <row r="85" ht="15.75" customHeight="1">
      <c r="K85" s="43">
        <v>45873.0</v>
      </c>
    </row>
    <row r="86" ht="15.75" customHeight="1">
      <c r="K86" s="43">
        <v>45880.0</v>
      </c>
    </row>
    <row r="87" ht="15.75" customHeight="1">
      <c r="K87" s="43">
        <v>45887.0</v>
      </c>
    </row>
    <row r="88" ht="15.75" customHeight="1">
      <c r="K88" s="43">
        <v>45894.0</v>
      </c>
    </row>
    <row r="89" ht="15.75" customHeight="1">
      <c r="K89" s="43">
        <v>45901.0</v>
      </c>
    </row>
    <row r="90" ht="15.75" customHeight="1">
      <c r="K90" s="43">
        <v>45908.0</v>
      </c>
    </row>
    <row r="91" ht="15.75" customHeight="1">
      <c r="K91" s="43">
        <v>45915.0</v>
      </c>
    </row>
    <row r="92" ht="15.75" customHeight="1">
      <c r="K92" s="43">
        <v>45922.0</v>
      </c>
    </row>
    <row r="93" ht="15.75" customHeight="1">
      <c r="K93" s="43">
        <v>45929.0</v>
      </c>
    </row>
    <row r="94" ht="15.75" customHeight="1">
      <c r="K94" s="43">
        <v>45936.0</v>
      </c>
    </row>
    <row r="95" ht="15.75" customHeight="1">
      <c r="K95" s="43">
        <v>45943.0</v>
      </c>
    </row>
    <row r="96" ht="15.75" customHeight="1">
      <c r="K96" s="43">
        <v>45950.0</v>
      </c>
    </row>
    <row r="97" ht="15.75" customHeight="1">
      <c r="K97" s="43">
        <v>45957.0</v>
      </c>
    </row>
    <row r="98" ht="15.75" customHeight="1">
      <c r="K98" s="43">
        <v>45964.0</v>
      </c>
    </row>
    <row r="99" ht="15.75" customHeight="1">
      <c r="K99" s="43">
        <v>45971.0</v>
      </c>
    </row>
    <row r="100" ht="15.75" customHeight="1">
      <c r="K100" s="43">
        <v>45978.0</v>
      </c>
    </row>
    <row r="101" ht="15.75" customHeight="1">
      <c r="K101" s="43">
        <v>45985.0</v>
      </c>
    </row>
    <row r="102" ht="15.75" customHeight="1">
      <c r="K102" s="43">
        <v>45992.0</v>
      </c>
    </row>
    <row r="103" ht="15.75" customHeight="1">
      <c r="K103" s="43">
        <v>45999.0</v>
      </c>
    </row>
    <row r="104" ht="15.75" customHeight="1">
      <c r="K104" s="43">
        <v>46006.0</v>
      </c>
    </row>
    <row r="105" ht="15.75" customHeight="1">
      <c r="K105" s="43">
        <v>46013.0</v>
      </c>
    </row>
    <row r="106" ht="15.75" customHeight="1">
      <c r="K106" s="43">
        <v>46020.0</v>
      </c>
    </row>
    <row r="107" ht="15.75" customHeight="1">
      <c r="K107" s="43">
        <v>46027.0</v>
      </c>
    </row>
    <row r="108" ht="15.75" customHeight="1">
      <c r="K108" s="43">
        <v>46034.0</v>
      </c>
    </row>
    <row r="109" ht="15.75" customHeight="1">
      <c r="K109" s="43">
        <v>46041.0</v>
      </c>
    </row>
    <row r="110" ht="15.75" customHeight="1">
      <c r="K110" s="43">
        <v>46048.0</v>
      </c>
    </row>
    <row r="111" ht="15.75" customHeight="1">
      <c r="K111" s="43">
        <v>46055.0</v>
      </c>
    </row>
    <row r="112" ht="15.75" customHeight="1">
      <c r="K112" s="43">
        <v>46062.0</v>
      </c>
    </row>
    <row r="113" ht="15.75" customHeight="1">
      <c r="K113" s="43">
        <v>46069.0</v>
      </c>
    </row>
    <row r="114" ht="15.75" customHeight="1">
      <c r="K114" s="43">
        <v>46076.0</v>
      </c>
    </row>
    <row r="115" ht="15.75" customHeight="1">
      <c r="K115" s="43">
        <v>46083.0</v>
      </c>
    </row>
    <row r="116" ht="15.75" customHeight="1">
      <c r="K116" s="43">
        <v>46090.0</v>
      </c>
    </row>
    <row r="117" ht="15.75" customHeight="1">
      <c r="K117" s="43">
        <v>46097.0</v>
      </c>
    </row>
    <row r="118" ht="15.75" customHeight="1">
      <c r="K118" s="43">
        <v>46104.0</v>
      </c>
    </row>
    <row r="119" ht="15.75" customHeight="1">
      <c r="K119" s="43">
        <v>46111.0</v>
      </c>
    </row>
    <row r="120" ht="15.75" customHeight="1">
      <c r="K120" s="43">
        <v>46118.0</v>
      </c>
    </row>
    <row r="121" ht="15.75" customHeight="1">
      <c r="K121" s="43">
        <v>46125.0</v>
      </c>
    </row>
    <row r="122" ht="15.75" customHeight="1">
      <c r="K122" s="43">
        <v>46132.0</v>
      </c>
    </row>
    <row r="123" ht="15.75" customHeight="1">
      <c r="K123" s="43">
        <v>46139.0</v>
      </c>
    </row>
    <row r="124" ht="15.75" customHeight="1">
      <c r="K124" s="43">
        <v>46146.0</v>
      </c>
    </row>
    <row r="125" ht="15.75" customHeight="1">
      <c r="K125" s="43">
        <v>46153.0</v>
      </c>
    </row>
    <row r="126" ht="15.75" customHeight="1">
      <c r="K126" s="43">
        <v>46160.0</v>
      </c>
    </row>
    <row r="127" ht="15.75" customHeight="1">
      <c r="K127" s="43">
        <v>46167.0</v>
      </c>
    </row>
    <row r="128" ht="15.75" customHeight="1">
      <c r="K128" s="43">
        <v>46174.0</v>
      </c>
    </row>
    <row r="129" ht="15.75" customHeight="1">
      <c r="K129" s="43">
        <v>46181.0</v>
      </c>
    </row>
    <row r="130" ht="15.75" customHeight="1">
      <c r="K130" s="43">
        <v>46188.0</v>
      </c>
    </row>
    <row r="131" ht="15.75" customHeight="1">
      <c r="K131" s="43">
        <v>46195.0</v>
      </c>
    </row>
    <row r="132" ht="15.75" customHeight="1">
      <c r="K132" s="43">
        <v>46202.0</v>
      </c>
    </row>
    <row r="133" ht="15.75" customHeight="1">
      <c r="K133" s="43">
        <v>46209.0</v>
      </c>
    </row>
    <row r="134" ht="15.75" customHeight="1">
      <c r="K134" s="43">
        <v>46216.0</v>
      </c>
    </row>
    <row r="135" ht="15.75" customHeight="1">
      <c r="K135" s="43">
        <v>46223.0</v>
      </c>
    </row>
    <row r="136" ht="15.75" customHeight="1">
      <c r="K136" s="43">
        <v>46230.0</v>
      </c>
    </row>
    <row r="137" ht="15.75" customHeight="1">
      <c r="K137" s="43">
        <v>46237.0</v>
      </c>
    </row>
    <row r="138" ht="15.75" customHeight="1">
      <c r="K138" s="43">
        <v>46244.0</v>
      </c>
    </row>
    <row r="139" ht="15.75" customHeight="1">
      <c r="K139" s="43">
        <v>46251.0</v>
      </c>
    </row>
    <row r="140" ht="15.75" customHeight="1">
      <c r="K140" s="43">
        <v>46258.0</v>
      </c>
    </row>
    <row r="141" ht="15.75" customHeight="1">
      <c r="K141" s="43">
        <v>46265.0</v>
      </c>
    </row>
    <row r="142" ht="15.75" customHeight="1">
      <c r="K142" s="43">
        <v>46272.0</v>
      </c>
    </row>
    <row r="143" ht="15.75" customHeight="1">
      <c r="K143" s="43">
        <v>46279.0</v>
      </c>
    </row>
    <row r="144" ht="15.75" customHeight="1">
      <c r="K144" s="43">
        <v>46286.0</v>
      </c>
    </row>
    <row r="145" ht="15.75" customHeight="1">
      <c r="K145" s="43">
        <v>46293.0</v>
      </c>
    </row>
    <row r="146" ht="15.75" customHeight="1">
      <c r="K146" s="43">
        <v>46300.0</v>
      </c>
    </row>
    <row r="147" ht="15.75" customHeight="1">
      <c r="K147" s="43">
        <v>46307.0</v>
      </c>
    </row>
    <row r="148" ht="15.75" customHeight="1">
      <c r="K148" s="43">
        <v>46314.0</v>
      </c>
    </row>
    <row r="149" ht="15.75" customHeight="1">
      <c r="K149" s="43">
        <v>46321.0</v>
      </c>
    </row>
    <row r="150" ht="15.75" customHeight="1">
      <c r="K150" s="43">
        <v>46328.0</v>
      </c>
    </row>
    <row r="151" ht="15.75" customHeight="1">
      <c r="K151" s="43">
        <v>46335.0</v>
      </c>
    </row>
    <row r="152" ht="15.75" customHeight="1">
      <c r="K152" s="43">
        <v>46342.0</v>
      </c>
    </row>
    <row r="153" ht="15.75" customHeight="1">
      <c r="K153" s="43">
        <v>46349.0</v>
      </c>
    </row>
    <row r="154" ht="15.75" customHeight="1">
      <c r="K154" s="43">
        <v>46356.0</v>
      </c>
    </row>
    <row r="155" ht="15.75" customHeight="1">
      <c r="K155" s="43">
        <v>46363.0</v>
      </c>
    </row>
    <row r="156" ht="15.75" customHeight="1">
      <c r="K156" s="43">
        <v>46370.0</v>
      </c>
    </row>
    <row r="157" ht="15.75" customHeight="1">
      <c r="K157" s="43">
        <v>46377.0</v>
      </c>
    </row>
    <row r="158" ht="15.75" customHeight="1">
      <c r="K158" s="43">
        <v>46384.0</v>
      </c>
    </row>
    <row r="159" ht="15.75" customHeight="1">
      <c r="K159" s="43">
        <v>46391.0</v>
      </c>
    </row>
    <row r="160" ht="15.75" customHeight="1">
      <c r="K160" s="43">
        <v>46398.0</v>
      </c>
    </row>
    <row r="161" ht="15.75" customHeight="1">
      <c r="K161" s="43">
        <v>46405.0</v>
      </c>
    </row>
    <row r="162" ht="15.75" customHeight="1">
      <c r="K162" s="43">
        <v>46412.0</v>
      </c>
    </row>
    <row r="163" ht="15.75" customHeight="1">
      <c r="K163" s="43">
        <v>46419.0</v>
      </c>
    </row>
    <row r="164" ht="15.75" customHeight="1">
      <c r="K164" s="43">
        <v>46426.0</v>
      </c>
    </row>
    <row r="165" ht="15.75" customHeight="1">
      <c r="K165" s="43">
        <v>46433.0</v>
      </c>
    </row>
    <row r="166" ht="15.75" customHeight="1">
      <c r="K166" s="43">
        <v>46440.0</v>
      </c>
    </row>
    <row r="167" ht="15.75" customHeight="1">
      <c r="K167" s="43">
        <v>46447.0</v>
      </c>
    </row>
    <row r="168" ht="15.75" customHeight="1">
      <c r="K168" s="43">
        <v>46454.0</v>
      </c>
    </row>
    <row r="169" ht="15.75" customHeight="1">
      <c r="K169" s="43">
        <v>46461.0</v>
      </c>
    </row>
    <row r="170" ht="15.75" customHeight="1">
      <c r="K170" s="43">
        <v>46468.0</v>
      </c>
    </row>
    <row r="171" ht="15.75" customHeight="1">
      <c r="K171" s="43">
        <v>46475.0</v>
      </c>
    </row>
    <row r="172" ht="15.75" customHeight="1">
      <c r="K172" s="43">
        <v>46482.0</v>
      </c>
    </row>
    <row r="173" ht="15.75" customHeight="1">
      <c r="K173" s="43">
        <v>46489.0</v>
      </c>
    </row>
    <row r="174" ht="15.75" customHeight="1">
      <c r="K174" s="43">
        <v>46496.0</v>
      </c>
    </row>
    <row r="175" ht="15.75" customHeight="1">
      <c r="K175" s="43">
        <v>46503.0</v>
      </c>
    </row>
    <row r="176" ht="15.75" customHeight="1">
      <c r="K176" s="43">
        <v>46510.0</v>
      </c>
    </row>
    <row r="177" ht="15.75" customHeight="1">
      <c r="K177" s="43">
        <v>46517.0</v>
      </c>
    </row>
    <row r="178" ht="15.75" customHeight="1">
      <c r="K178" s="43">
        <v>46524.0</v>
      </c>
    </row>
    <row r="179" ht="15.75" customHeight="1">
      <c r="K179" s="43">
        <v>46531.0</v>
      </c>
    </row>
    <row r="180" ht="15.75" customHeight="1">
      <c r="K180" s="43">
        <v>46538.0</v>
      </c>
    </row>
    <row r="181" ht="15.75" customHeight="1">
      <c r="K181" s="43">
        <v>46545.0</v>
      </c>
    </row>
    <row r="182" ht="15.75" customHeight="1">
      <c r="K182" s="43">
        <v>46552.0</v>
      </c>
    </row>
    <row r="183" ht="15.75" customHeight="1">
      <c r="K183" s="43">
        <v>46559.0</v>
      </c>
    </row>
    <row r="184" ht="15.75" customHeight="1">
      <c r="K184" s="43">
        <v>46566.0</v>
      </c>
    </row>
    <row r="185" ht="15.75" customHeight="1">
      <c r="K185" s="43">
        <v>46573.0</v>
      </c>
    </row>
    <row r="186" ht="15.75" customHeight="1">
      <c r="K186" s="43">
        <v>46580.0</v>
      </c>
    </row>
    <row r="187" ht="15.75" customHeight="1">
      <c r="K187" s="43">
        <v>46587.0</v>
      </c>
    </row>
    <row r="188" ht="15.75" customHeight="1">
      <c r="K188" s="43">
        <v>46594.0</v>
      </c>
    </row>
    <row r="189" ht="15.75" customHeight="1">
      <c r="K189" s="43">
        <v>46601.0</v>
      </c>
    </row>
    <row r="190" ht="15.75" customHeight="1">
      <c r="K190" s="43">
        <v>46608.0</v>
      </c>
    </row>
    <row r="191" ht="15.75" customHeight="1">
      <c r="K191" s="43">
        <v>46615.0</v>
      </c>
    </row>
    <row r="192" ht="15.75" customHeight="1">
      <c r="K192" s="43">
        <v>46622.0</v>
      </c>
    </row>
    <row r="193" ht="15.75" customHeight="1">
      <c r="K193" s="43">
        <v>46629.0</v>
      </c>
    </row>
    <row r="194" ht="15.75" customHeight="1">
      <c r="K194" s="43">
        <v>46636.0</v>
      </c>
    </row>
    <row r="195" ht="15.75" customHeight="1">
      <c r="K195" s="43">
        <v>46643.0</v>
      </c>
    </row>
    <row r="196" ht="15.75" customHeight="1">
      <c r="K196" s="43">
        <v>46650.0</v>
      </c>
    </row>
    <row r="197" ht="15.75" customHeight="1">
      <c r="K197" s="43">
        <v>46657.0</v>
      </c>
    </row>
    <row r="198" ht="15.75" customHeight="1">
      <c r="K198" s="43">
        <v>46664.0</v>
      </c>
    </row>
    <row r="199" ht="15.75" customHeight="1">
      <c r="K199" s="43">
        <v>46671.0</v>
      </c>
    </row>
    <row r="200" ht="15.75" customHeight="1">
      <c r="K200" s="43">
        <v>46678.0</v>
      </c>
    </row>
    <row r="201" ht="15.75" customHeight="1">
      <c r="K201" s="43">
        <v>46685.0</v>
      </c>
    </row>
    <row r="202" ht="15.75" customHeight="1">
      <c r="K202" s="43">
        <v>46692.0</v>
      </c>
    </row>
    <row r="203" ht="15.75" customHeight="1">
      <c r="K203" s="43">
        <v>46699.0</v>
      </c>
    </row>
    <row r="204" ht="15.75" customHeight="1">
      <c r="K204" s="43">
        <v>46706.0</v>
      </c>
    </row>
    <row r="205" ht="15.75" customHeight="1">
      <c r="K205" s="43">
        <v>46713.0</v>
      </c>
    </row>
    <row r="206" ht="15.75" customHeight="1">
      <c r="K206" s="43">
        <v>46720.0</v>
      </c>
    </row>
    <row r="207" ht="15.75" customHeight="1">
      <c r="K207" s="43">
        <v>46727.0</v>
      </c>
    </row>
    <row r="208" ht="15.75" customHeight="1">
      <c r="K208" s="43">
        <v>46734.0</v>
      </c>
    </row>
    <row r="209" ht="15.75" customHeight="1">
      <c r="K209" s="43">
        <v>46741.0</v>
      </c>
    </row>
    <row r="210" ht="15.75" customHeight="1">
      <c r="K210" s="43">
        <v>46748.0</v>
      </c>
    </row>
    <row r="211" ht="15.75" customHeight="1">
      <c r="K211" s="43">
        <v>46755.0</v>
      </c>
    </row>
    <row r="212" ht="15.75" customHeight="1">
      <c r="K212" s="43">
        <v>46762.0</v>
      </c>
    </row>
    <row r="213" ht="15.75" customHeight="1">
      <c r="K213" s="43">
        <v>46769.0</v>
      </c>
    </row>
    <row r="214" ht="15.75" customHeight="1">
      <c r="K214" s="43">
        <v>46776.0</v>
      </c>
    </row>
    <row r="215" ht="15.75" customHeight="1">
      <c r="K215" s="43">
        <v>46783.0</v>
      </c>
    </row>
    <row r="216" ht="15.75" customHeight="1">
      <c r="K216" s="43">
        <v>46790.0</v>
      </c>
    </row>
    <row r="217" ht="15.75" customHeight="1">
      <c r="K217" s="43">
        <v>46797.0</v>
      </c>
    </row>
    <row r="218" ht="15.75" customHeight="1">
      <c r="K218" s="43">
        <v>46804.0</v>
      </c>
    </row>
    <row r="219" ht="15.75" customHeight="1">
      <c r="K219" s="43">
        <v>46811.0</v>
      </c>
    </row>
    <row r="220" ht="15.75" customHeight="1">
      <c r="K220" s="43">
        <v>46818.0</v>
      </c>
    </row>
    <row r="221" ht="15.75" customHeight="1">
      <c r="K221" s="43">
        <v>46825.0</v>
      </c>
    </row>
    <row r="222" ht="15.75" customHeight="1">
      <c r="K222" s="43">
        <v>46832.0</v>
      </c>
    </row>
    <row r="223" ht="15.75" customHeight="1">
      <c r="K223" s="43">
        <v>46839.0</v>
      </c>
    </row>
    <row r="224" ht="15.75" customHeight="1">
      <c r="K224" s="43">
        <v>46846.0</v>
      </c>
    </row>
    <row r="225" ht="15.75" customHeight="1">
      <c r="K225" s="43">
        <v>46853.0</v>
      </c>
    </row>
    <row r="226" ht="15.75" customHeight="1">
      <c r="K226" s="43">
        <v>46860.0</v>
      </c>
    </row>
    <row r="227" ht="15.75" customHeight="1">
      <c r="K227" s="43">
        <v>46867.0</v>
      </c>
    </row>
    <row r="228" ht="15.75" customHeight="1">
      <c r="K228" s="43">
        <v>46874.0</v>
      </c>
    </row>
    <row r="229" ht="15.75" customHeight="1">
      <c r="K229" s="43">
        <v>46881.0</v>
      </c>
    </row>
    <row r="230" ht="15.75" customHeight="1">
      <c r="K230" s="43">
        <v>46888.0</v>
      </c>
    </row>
    <row r="231" ht="15.75" customHeight="1">
      <c r="K231" s="43">
        <v>46895.0</v>
      </c>
    </row>
    <row r="232" ht="15.75" customHeight="1">
      <c r="K232" s="43">
        <v>46902.0</v>
      </c>
    </row>
    <row r="233" ht="15.75" customHeight="1">
      <c r="K233" s="43">
        <v>46909.0</v>
      </c>
    </row>
    <row r="234" ht="15.75" customHeight="1">
      <c r="K234" s="43">
        <v>46916.0</v>
      </c>
    </row>
    <row r="235" ht="15.75" customHeight="1">
      <c r="K235" s="43">
        <v>46923.0</v>
      </c>
    </row>
    <row r="236" ht="15.75" customHeight="1">
      <c r="K236" s="43">
        <v>46930.0</v>
      </c>
    </row>
    <row r="237" ht="15.75" customHeight="1">
      <c r="K237" s="43">
        <v>46937.0</v>
      </c>
    </row>
    <row r="238" ht="15.75" customHeight="1">
      <c r="K238" s="43">
        <v>46944.0</v>
      </c>
    </row>
    <row r="239" ht="15.75" customHeight="1">
      <c r="K239" s="43">
        <v>46951.0</v>
      </c>
    </row>
    <row r="240" ht="15.75" customHeight="1">
      <c r="K240" s="43">
        <v>46958.0</v>
      </c>
    </row>
    <row r="241" ht="15.75" customHeight="1">
      <c r="K241" s="43">
        <v>46965.0</v>
      </c>
    </row>
    <row r="242" ht="15.75" customHeight="1">
      <c r="K242" s="43">
        <v>46972.0</v>
      </c>
    </row>
    <row r="243" ht="15.75" customHeight="1">
      <c r="K243" s="43">
        <v>46979.0</v>
      </c>
    </row>
    <row r="244" ht="15.75" customHeight="1">
      <c r="K244" s="43">
        <v>46986.0</v>
      </c>
    </row>
    <row r="245" ht="15.75" customHeight="1">
      <c r="K245" s="43">
        <v>46993.0</v>
      </c>
    </row>
    <row r="246" ht="15.75" customHeight="1">
      <c r="K246" s="43">
        <v>47000.0</v>
      </c>
    </row>
    <row r="247" ht="15.75" customHeight="1">
      <c r="K247" s="43">
        <v>47007.0</v>
      </c>
    </row>
    <row r="248" ht="15.75" customHeight="1">
      <c r="K248" s="43">
        <v>47014.0</v>
      </c>
    </row>
    <row r="249" ht="15.75" customHeight="1">
      <c r="K249" s="43">
        <v>47021.0</v>
      </c>
    </row>
    <row r="250" ht="15.75" customHeight="1">
      <c r="K250" s="43">
        <v>47028.0</v>
      </c>
    </row>
    <row r="251" ht="15.75" customHeight="1">
      <c r="K251" s="43">
        <v>47035.0</v>
      </c>
    </row>
    <row r="252" ht="15.75" customHeight="1">
      <c r="K252" s="43">
        <v>47042.0</v>
      </c>
    </row>
    <row r="253" ht="15.75" customHeight="1">
      <c r="K253" s="43">
        <v>47049.0</v>
      </c>
    </row>
    <row r="254" ht="15.75" customHeight="1">
      <c r="K254" s="43">
        <v>47056.0</v>
      </c>
    </row>
    <row r="255" ht="15.75" customHeight="1">
      <c r="K255" s="43">
        <v>47063.0</v>
      </c>
    </row>
    <row r="256" ht="15.75" customHeight="1">
      <c r="K256" s="43">
        <v>47070.0</v>
      </c>
    </row>
    <row r="257" ht="15.75" customHeight="1">
      <c r="K257" s="43">
        <v>47077.0</v>
      </c>
    </row>
    <row r="258" ht="15.75" customHeight="1">
      <c r="K258" s="43">
        <v>47084.0</v>
      </c>
    </row>
    <row r="259" ht="15.75" customHeight="1">
      <c r="K259" s="43">
        <v>47091.0</v>
      </c>
    </row>
    <row r="260" ht="15.75" customHeight="1">
      <c r="K260" s="43">
        <v>47098.0</v>
      </c>
    </row>
    <row r="261" ht="15.75" customHeight="1">
      <c r="K261" s="43">
        <v>47105.0</v>
      </c>
    </row>
    <row r="262" ht="15.75" customHeight="1">
      <c r="K262" s="43">
        <v>47112.0</v>
      </c>
    </row>
    <row r="263" ht="15.75" customHeight="1">
      <c r="K263" s="43">
        <v>47119.0</v>
      </c>
    </row>
    <row r="264" ht="15.75" customHeight="1">
      <c r="K264" s="43">
        <v>47126.0</v>
      </c>
    </row>
    <row r="265" ht="15.75" customHeight="1">
      <c r="K265" s="43">
        <v>47133.0</v>
      </c>
    </row>
    <row r="266" ht="15.75" customHeight="1">
      <c r="K266" s="43">
        <v>47140.0</v>
      </c>
    </row>
    <row r="267" ht="15.75" customHeight="1">
      <c r="K267" s="43">
        <v>47147.0</v>
      </c>
    </row>
    <row r="268" ht="15.75" customHeight="1">
      <c r="K268" s="43">
        <v>47154.0</v>
      </c>
    </row>
    <row r="269" ht="15.75" customHeight="1">
      <c r="K269" s="43">
        <v>47161.0</v>
      </c>
    </row>
    <row r="270" ht="15.75" customHeight="1">
      <c r="K270" s="43">
        <v>47168.0</v>
      </c>
    </row>
    <row r="271" ht="15.75" customHeight="1">
      <c r="K271" s="43">
        <v>47175.0</v>
      </c>
    </row>
    <row r="272" ht="15.75" customHeight="1">
      <c r="K272" s="43">
        <v>47182.0</v>
      </c>
    </row>
    <row r="273" ht="15.75" customHeight="1">
      <c r="K273" s="43">
        <v>47189.0</v>
      </c>
    </row>
    <row r="274" ht="15.75" customHeight="1">
      <c r="K274" s="43">
        <v>47196.0</v>
      </c>
    </row>
    <row r="275" ht="15.75" customHeight="1">
      <c r="K275" s="43">
        <v>47203.0</v>
      </c>
    </row>
    <row r="276" ht="15.75" customHeight="1">
      <c r="K276" s="43">
        <v>47210.0</v>
      </c>
    </row>
    <row r="277" ht="15.75" customHeight="1">
      <c r="K277" s="43">
        <v>47217.0</v>
      </c>
    </row>
    <row r="278" ht="15.75" customHeight="1">
      <c r="K278" s="43">
        <v>47224.0</v>
      </c>
    </row>
    <row r="279" ht="15.75" customHeight="1">
      <c r="K279" s="43">
        <v>47231.0</v>
      </c>
    </row>
    <row r="280" ht="15.75" customHeight="1">
      <c r="K280" s="43">
        <v>47238.0</v>
      </c>
    </row>
    <row r="281" ht="15.75" customHeight="1">
      <c r="K281" s="43">
        <v>47245.0</v>
      </c>
    </row>
    <row r="282" ht="15.75" customHeight="1">
      <c r="K282" s="43">
        <v>47252.0</v>
      </c>
    </row>
    <row r="283" ht="15.75" customHeight="1">
      <c r="K283" s="43">
        <v>47259.0</v>
      </c>
    </row>
    <row r="284" ht="15.75" customHeight="1">
      <c r="K284" s="43">
        <v>47266.0</v>
      </c>
    </row>
    <row r="285" ht="15.75" customHeight="1">
      <c r="K285" s="43">
        <v>47273.0</v>
      </c>
    </row>
    <row r="286" ht="15.75" customHeight="1">
      <c r="K286" s="43">
        <v>47280.0</v>
      </c>
    </row>
    <row r="287" ht="15.75" customHeight="1">
      <c r="K287" s="43">
        <v>47287.0</v>
      </c>
    </row>
    <row r="288" ht="15.75" customHeight="1">
      <c r="K288" s="43">
        <v>47294.0</v>
      </c>
    </row>
    <row r="289" ht="15.75" customHeight="1">
      <c r="K289" s="43">
        <v>47301.0</v>
      </c>
    </row>
    <row r="290" ht="15.75" customHeight="1">
      <c r="K290" s="43">
        <v>47308.0</v>
      </c>
    </row>
    <row r="291" ht="15.75" customHeight="1">
      <c r="K291" s="43">
        <v>47315.0</v>
      </c>
    </row>
    <row r="292" ht="15.75" customHeight="1">
      <c r="K292" s="43">
        <v>47322.0</v>
      </c>
    </row>
    <row r="293" ht="15.75" customHeight="1">
      <c r="K293" s="43">
        <v>47329.0</v>
      </c>
    </row>
    <row r="294" ht="15.75" customHeight="1">
      <c r="K294" s="43">
        <v>47336.0</v>
      </c>
    </row>
    <row r="295" ht="15.75" customHeight="1">
      <c r="K295" s="43">
        <v>47343.0</v>
      </c>
    </row>
    <row r="296" ht="15.75" customHeight="1">
      <c r="K296" s="43">
        <v>47350.0</v>
      </c>
    </row>
    <row r="297" ht="15.75" customHeight="1">
      <c r="K297" s="43">
        <v>47357.0</v>
      </c>
    </row>
    <row r="298" ht="15.75" customHeight="1">
      <c r="K298" s="43">
        <v>47364.0</v>
      </c>
    </row>
    <row r="299" ht="15.75" customHeight="1">
      <c r="K299" s="43">
        <v>47371.0</v>
      </c>
    </row>
    <row r="300" ht="15.75" customHeight="1">
      <c r="K300" s="43">
        <v>47378.0</v>
      </c>
    </row>
    <row r="301" ht="15.75" customHeight="1">
      <c r="K301" s="43">
        <v>47385.0</v>
      </c>
    </row>
    <row r="302" ht="15.75" customHeight="1">
      <c r="K302" s="43">
        <v>47392.0</v>
      </c>
    </row>
    <row r="303" ht="15.75" customHeight="1">
      <c r="K303" s="43">
        <v>47399.0</v>
      </c>
    </row>
    <row r="304" ht="15.75" customHeight="1">
      <c r="K304" s="43">
        <v>47406.0</v>
      </c>
    </row>
    <row r="305" ht="15.75" customHeight="1">
      <c r="K305" s="43">
        <v>47413.0</v>
      </c>
    </row>
    <row r="306" ht="15.75" customHeight="1">
      <c r="K306" s="43">
        <v>47420.0</v>
      </c>
    </row>
    <row r="307" ht="15.75" customHeight="1">
      <c r="K307" s="43">
        <v>47427.0</v>
      </c>
    </row>
    <row r="308" ht="15.75" customHeight="1">
      <c r="K308" s="43">
        <v>47434.0</v>
      </c>
    </row>
    <row r="309" ht="15.75" customHeight="1">
      <c r="K309" s="43">
        <v>47441.0</v>
      </c>
    </row>
    <row r="310" ht="15.75" customHeight="1">
      <c r="K310" s="43">
        <v>47448.0</v>
      </c>
    </row>
    <row r="311" ht="15.75" customHeight="1">
      <c r="K311" s="43">
        <v>47455.0</v>
      </c>
    </row>
    <row r="312" ht="15.75" customHeight="1">
      <c r="K312" s="43">
        <v>47462.0</v>
      </c>
    </row>
    <row r="313" ht="15.75" customHeight="1">
      <c r="K313" s="43">
        <v>47469.0</v>
      </c>
    </row>
    <row r="314" ht="15.75" customHeight="1">
      <c r="K314" s="43">
        <v>47476.0</v>
      </c>
    </row>
    <row r="315" ht="15.75" customHeight="1">
      <c r="K315" s="43">
        <v>47483.0</v>
      </c>
    </row>
    <row r="316" ht="15.75" customHeight="1">
      <c r="K316" s="43">
        <v>47490.0</v>
      </c>
    </row>
    <row r="317" ht="15.75" customHeight="1">
      <c r="K317" s="43">
        <v>47497.0</v>
      </c>
    </row>
    <row r="318" ht="15.75" customHeight="1">
      <c r="K318" s="43">
        <v>47504.0</v>
      </c>
    </row>
    <row r="319" ht="15.75" customHeight="1">
      <c r="K319" s="43">
        <v>47511.0</v>
      </c>
    </row>
    <row r="320" ht="15.75" customHeight="1">
      <c r="K320" s="43">
        <v>47518.0</v>
      </c>
    </row>
    <row r="321" ht="15.75" customHeight="1">
      <c r="K321" s="43">
        <v>47525.0</v>
      </c>
    </row>
    <row r="322" ht="15.75" customHeight="1">
      <c r="K322" s="43">
        <v>47532.0</v>
      </c>
    </row>
    <row r="323" ht="15.75" customHeight="1">
      <c r="K323" s="43">
        <v>47539.0</v>
      </c>
    </row>
    <row r="324" ht="15.75" customHeight="1">
      <c r="K324" s="43">
        <v>47546.0</v>
      </c>
    </row>
    <row r="325" ht="15.75" customHeight="1">
      <c r="K325" s="43">
        <v>47553.0</v>
      </c>
    </row>
    <row r="326" ht="15.75" customHeight="1">
      <c r="K326" s="43">
        <v>47560.0</v>
      </c>
    </row>
    <row r="327" ht="15.75" customHeight="1">
      <c r="K327" s="43">
        <v>47567.0</v>
      </c>
    </row>
    <row r="328" ht="15.75" customHeight="1">
      <c r="K328" s="43">
        <v>47574.0</v>
      </c>
    </row>
    <row r="329" ht="15.75" customHeight="1">
      <c r="K329" s="43">
        <v>47581.0</v>
      </c>
    </row>
    <row r="330" ht="15.75" customHeight="1">
      <c r="K330" s="43">
        <v>47588.0</v>
      </c>
    </row>
    <row r="331" ht="15.75" customHeight="1">
      <c r="K331" s="43">
        <v>47595.0</v>
      </c>
    </row>
    <row r="332" ht="15.75" customHeight="1">
      <c r="K332" s="43">
        <v>47602.0</v>
      </c>
    </row>
    <row r="333" ht="15.75" customHeight="1">
      <c r="K333" s="43">
        <v>47609.0</v>
      </c>
    </row>
    <row r="334" ht="15.75" customHeight="1">
      <c r="K334" s="43">
        <v>47616.0</v>
      </c>
    </row>
    <row r="335" ht="15.75" customHeight="1">
      <c r="K335" s="43">
        <v>47623.0</v>
      </c>
    </row>
    <row r="336" ht="15.75" customHeight="1">
      <c r="K336" s="43">
        <v>47630.0</v>
      </c>
    </row>
    <row r="337" ht="15.75" customHeight="1">
      <c r="K337" s="43">
        <v>47637.0</v>
      </c>
    </row>
    <row r="338" ht="15.75" customHeight="1">
      <c r="K338" s="43">
        <v>47644.0</v>
      </c>
    </row>
    <row r="339" ht="15.75" customHeight="1">
      <c r="K339" s="43">
        <v>47651.0</v>
      </c>
    </row>
    <row r="340" ht="15.75" customHeight="1">
      <c r="K340" s="43">
        <v>47658.0</v>
      </c>
    </row>
    <row r="341" ht="15.75" customHeight="1">
      <c r="K341" s="43">
        <v>47665.0</v>
      </c>
    </row>
    <row r="342" ht="15.75" customHeight="1">
      <c r="K342" s="43">
        <v>47672.0</v>
      </c>
    </row>
    <row r="343" ht="15.75" customHeight="1">
      <c r="K343" s="43">
        <v>47679.0</v>
      </c>
    </row>
    <row r="344" ht="15.75" customHeight="1">
      <c r="K344" s="43">
        <v>47686.0</v>
      </c>
    </row>
    <row r="345" ht="15.75" customHeight="1">
      <c r="K345" s="43">
        <v>47693.0</v>
      </c>
    </row>
    <row r="346" ht="15.75" customHeight="1">
      <c r="K346" s="43">
        <v>47700.0</v>
      </c>
    </row>
    <row r="347" ht="15.75" customHeight="1">
      <c r="K347" s="43">
        <v>47707.0</v>
      </c>
    </row>
    <row r="348" ht="15.75" customHeight="1">
      <c r="K348" s="43">
        <v>47714.0</v>
      </c>
    </row>
    <row r="349" ht="15.75" customHeight="1">
      <c r="K349" s="43">
        <v>47721.0</v>
      </c>
    </row>
    <row r="350" ht="15.75" customHeight="1">
      <c r="K350" s="43">
        <v>47728.0</v>
      </c>
    </row>
    <row r="351" ht="15.75" customHeight="1">
      <c r="K351" s="43">
        <v>47735.0</v>
      </c>
    </row>
    <row r="352" ht="15.75" customHeight="1">
      <c r="K352" s="43">
        <v>47742.0</v>
      </c>
    </row>
    <row r="353" ht="15.75" customHeight="1">
      <c r="K353" s="43">
        <v>47749.0</v>
      </c>
    </row>
    <row r="354" ht="15.75" customHeight="1">
      <c r="K354" s="43">
        <v>47756.0</v>
      </c>
    </row>
    <row r="355" ht="15.75" customHeight="1">
      <c r="K355" s="43">
        <v>47763.0</v>
      </c>
    </row>
    <row r="356" ht="15.75" customHeight="1">
      <c r="K356" s="43">
        <v>47770.0</v>
      </c>
    </row>
    <row r="357" ht="15.75" customHeight="1">
      <c r="K357" s="43">
        <v>47777.0</v>
      </c>
    </row>
    <row r="358" ht="15.75" customHeight="1">
      <c r="K358" s="43">
        <v>47784.0</v>
      </c>
    </row>
    <row r="359" ht="15.75" customHeight="1">
      <c r="K359" s="43">
        <v>47791.0</v>
      </c>
    </row>
    <row r="360" ht="15.75" customHeight="1">
      <c r="K360" s="43">
        <v>47798.0</v>
      </c>
    </row>
    <row r="361" ht="15.75" customHeight="1">
      <c r="K361" s="43">
        <v>47805.0</v>
      </c>
    </row>
    <row r="362" ht="15.75" customHeight="1">
      <c r="K362" s="43">
        <v>47812.0</v>
      </c>
    </row>
    <row r="363" ht="15.75" customHeight="1">
      <c r="K363" s="43">
        <v>47819.0</v>
      </c>
    </row>
    <row r="364" ht="15.75" customHeight="1">
      <c r="K364" s="43">
        <v>47826.0</v>
      </c>
    </row>
    <row r="365" ht="15.75" customHeight="1">
      <c r="K365" s="43">
        <v>47833.0</v>
      </c>
    </row>
    <row r="366" ht="15.75" customHeight="1">
      <c r="K366" s="43">
        <v>47840.0</v>
      </c>
    </row>
    <row r="367" ht="15.75" customHeight="1">
      <c r="K367" s="43">
        <v>47847.0</v>
      </c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